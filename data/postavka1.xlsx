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389AF58-39C8-43F9-84E9-DE61C62E3469}" xr6:coauthVersionLast="47" xr6:coauthVersionMax="47" xr10:uidLastSave="{00000000-0000-0000-0000-000000000000}"/>
  <bookViews>
    <workbookView xWindow="-108" yWindow="-108" windowWidth="23256" windowHeight="12576" activeTab="8" xr2:uid="{00000000-000D-0000-FFFF-FFFF00000000}"/>
  </bookViews>
  <sheets>
    <sheet name="List1" sheetId="1" r:id="rId1"/>
    <sheet name="List2" sheetId="2" r:id="rId2"/>
    <sheet name="List4" sheetId="3" r:id="rId3"/>
    <sheet name="List3" sheetId="4" r:id="rId4"/>
    <sheet name="List5" sheetId="5" r:id="rId5"/>
    <sheet name="List6" sheetId="6" r:id="rId6"/>
    <sheet name="Lista" sheetId="7" r:id="rId7"/>
    <sheet name="Lista6 (2)" sheetId="8" r:id="rId8"/>
    <sheet name="Udjeli" sheetId="9" r:id="rId9"/>
  </sheets>
  <definedNames>
    <definedName name="_xlnm._FilterDatabase" localSheetId="4" hidden="1">List5!#REF!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47" i="9" l="1"/>
  <c r="J147" i="9"/>
  <c r="I147" i="9"/>
  <c r="K146" i="9"/>
  <c r="J146" i="9"/>
  <c r="I146" i="9"/>
  <c r="K145" i="9"/>
  <c r="J145" i="9"/>
  <c r="U140" i="9" s="1"/>
  <c r="I145" i="9"/>
  <c r="K144" i="9"/>
  <c r="J144" i="9"/>
  <c r="I144" i="9"/>
  <c r="K143" i="9"/>
  <c r="J143" i="9"/>
  <c r="I143" i="9"/>
  <c r="R142" i="9"/>
  <c r="P142" i="9"/>
  <c r="N142" i="9"/>
  <c r="K142" i="9"/>
  <c r="J142" i="9"/>
  <c r="I142" i="9"/>
  <c r="T141" i="9"/>
  <c r="R141" i="9"/>
  <c r="P141" i="9"/>
  <c r="N141" i="9"/>
  <c r="K141" i="9"/>
  <c r="J141" i="9"/>
  <c r="I141" i="9"/>
  <c r="Z140" i="9"/>
  <c r="AG140" i="9" s="1"/>
  <c r="R140" i="9"/>
  <c r="N140" i="9"/>
  <c r="E140" i="9"/>
  <c r="K140" i="9" s="1"/>
  <c r="R139" i="9"/>
  <c r="P139" i="9"/>
  <c r="N139" i="9"/>
  <c r="R138" i="9"/>
  <c r="P138" i="9"/>
  <c r="N138" i="9"/>
  <c r="K138" i="9"/>
  <c r="V142" i="9" s="1"/>
  <c r="J138" i="9"/>
  <c r="U142" i="9" s="1"/>
  <c r="I138" i="9"/>
  <c r="M142" i="9" s="1"/>
  <c r="AF137" i="9"/>
  <c r="V137" i="9"/>
  <c r="Z137" i="9" s="1"/>
  <c r="AG137" i="9" s="1"/>
  <c r="R137" i="9"/>
  <c r="P137" i="9"/>
  <c r="N137" i="9"/>
  <c r="M137" i="9"/>
  <c r="K137" i="9"/>
  <c r="Q141" i="9" s="1"/>
  <c r="J137" i="9"/>
  <c r="O141" i="9" s="1"/>
  <c r="I137" i="9"/>
  <c r="M141" i="9" s="1"/>
  <c r="R136" i="9"/>
  <c r="N136" i="9"/>
  <c r="K136" i="9"/>
  <c r="V140" i="9" s="1"/>
  <c r="AF140" i="9" s="1"/>
  <c r="J136" i="9"/>
  <c r="O140" i="9" s="1"/>
  <c r="I136" i="9"/>
  <c r="K135" i="9"/>
  <c r="V139" i="9" s="1"/>
  <c r="J135" i="9"/>
  <c r="U139" i="9" s="1"/>
  <c r="I135" i="9"/>
  <c r="M139" i="9" s="1"/>
  <c r="K134" i="9"/>
  <c r="V138" i="9" s="1"/>
  <c r="AF138" i="9" s="1"/>
  <c r="J134" i="9"/>
  <c r="O138" i="9" s="1"/>
  <c r="I134" i="9"/>
  <c r="K133" i="9"/>
  <c r="Q137" i="9" s="1"/>
  <c r="J133" i="9"/>
  <c r="U137" i="9" s="1"/>
  <c r="I133" i="9"/>
  <c r="T137" i="9" s="1"/>
  <c r="K132" i="9"/>
  <c r="Q136" i="9" s="1"/>
  <c r="J132" i="9"/>
  <c r="O136" i="9" s="1"/>
  <c r="I132" i="9"/>
  <c r="M136" i="9" s="1"/>
  <c r="J131" i="9"/>
  <c r="O135" i="9" s="1"/>
  <c r="E131" i="9"/>
  <c r="I131" i="9" s="1"/>
  <c r="M135" i="9" s="1"/>
  <c r="K121" i="9"/>
  <c r="J121" i="9"/>
  <c r="I121" i="9"/>
  <c r="K120" i="9"/>
  <c r="J120" i="9"/>
  <c r="I120" i="9"/>
  <c r="K119" i="9"/>
  <c r="J119" i="9"/>
  <c r="I119" i="9"/>
  <c r="K118" i="9"/>
  <c r="J118" i="9"/>
  <c r="I118" i="9"/>
  <c r="K117" i="9"/>
  <c r="J117" i="9"/>
  <c r="P111" i="9" s="1"/>
  <c r="I117" i="9"/>
  <c r="K116" i="9"/>
  <c r="J116" i="9"/>
  <c r="I116" i="9"/>
  <c r="T115" i="9"/>
  <c r="R115" i="9"/>
  <c r="P115" i="9"/>
  <c r="N115" i="9"/>
  <c r="K115" i="9"/>
  <c r="J115" i="9"/>
  <c r="I115" i="9"/>
  <c r="R114" i="9"/>
  <c r="P114" i="9"/>
  <c r="K114" i="9"/>
  <c r="J114" i="9"/>
  <c r="I114" i="9"/>
  <c r="AF113" i="9"/>
  <c r="V113" i="9"/>
  <c r="Z113" i="9" s="1"/>
  <c r="AG113" i="9" s="1"/>
  <c r="R113" i="9"/>
  <c r="P113" i="9"/>
  <c r="N113" i="9"/>
  <c r="M113" i="9"/>
  <c r="R112" i="9"/>
  <c r="P112" i="9"/>
  <c r="O112" i="9"/>
  <c r="N112" i="9"/>
  <c r="K112" i="9"/>
  <c r="Q115" i="9" s="1"/>
  <c r="J112" i="9"/>
  <c r="O115" i="9" s="1"/>
  <c r="I112" i="9"/>
  <c r="M115" i="9" s="1"/>
  <c r="U111" i="9"/>
  <c r="R111" i="9"/>
  <c r="N111" i="9"/>
  <c r="K111" i="9"/>
  <c r="J111" i="9"/>
  <c r="O114" i="9" s="1"/>
  <c r="I111" i="9"/>
  <c r="M114" i="9" s="1"/>
  <c r="R110" i="9"/>
  <c r="Q110" i="9"/>
  <c r="P110" i="9"/>
  <c r="N110" i="9"/>
  <c r="K110" i="9"/>
  <c r="Q113" i="9" s="1"/>
  <c r="J110" i="9"/>
  <c r="U113" i="9" s="1"/>
  <c r="I110" i="9"/>
  <c r="T113" i="9" s="1"/>
  <c r="R109" i="9"/>
  <c r="N109" i="9"/>
  <c r="K109" i="9"/>
  <c r="V112" i="9" s="1"/>
  <c r="J109" i="9"/>
  <c r="U112" i="9" s="1"/>
  <c r="AD112" i="9" s="1"/>
  <c r="I109" i="9"/>
  <c r="M112" i="9" s="1"/>
  <c r="T108" i="9"/>
  <c r="R108" i="9"/>
  <c r="P108" i="9"/>
  <c r="N108" i="9"/>
  <c r="K108" i="9"/>
  <c r="Q111" i="9" s="1"/>
  <c r="J108" i="9"/>
  <c r="O111" i="9" s="1"/>
  <c r="I108" i="9"/>
  <c r="T111" i="9" s="1"/>
  <c r="K107" i="9"/>
  <c r="V110" i="9" s="1"/>
  <c r="J107" i="9"/>
  <c r="O110" i="9" s="1"/>
  <c r="I107" i="9"/>
  <c r="M110" i="9" s="1"/>
  <c r="K106" i="9"/>
  <c r="V109" i="9" s="1"/>
  <c r="J106" i="9"/>
  <c r="O109" i="9" s="1"/>
  <c r="I106" i="9"/>
  <c r="M109" i="9" s="1"/>
  <c r="K105" i="9"/>
  <c r="J105" i="9"/>
  <c r="O108" i="9" s="1"/>
  <c r="I105" i="9"/>
  <c r="M108" i="9" s="1"/>
  <c r="K103" i="9"/>
  <c r="V94" i="9" s="1"/>
  <c r="J103" i="9"/>
  <c r="I103" i="9"/>
  <c r="K102" i="9"/>
  <c r="J102" i="9"/>
  <c r="I102" i="9"/>
  <c r="N93" i="9" s="1"/>
  <c r="K101" i="9"/>
  <c r="J101" i="9"/>
  <c r="I101" i="9"/>
  <c r="K100" i="9"/>
  <c r="J100" i="9"/>
  <c r="I100" i="9"/>
  <c r="K99" i="9"/>
  <c r="J99" i="9"/>
  <c r="I99" i="9"/>
  <c r="K98" i="9"/>
  <c r="J98" i="9"/>
  <c r="I98" i="9"/>
  <c r="K97" i="9"/>
  <c r="J97" i="9"/>
  <c r="I97" i="9"/>
  <c r="K96" i="9"/>
  <c r="J96" i="9"/>
  <c r="I96" i="9"/>
  <c r="R94" i="9"/>
  <c r="Q94" i="9"/>
  <c r="P94" i="9"/>
  <c r="N94" i="9"/>
  <c r="R93" i="9"/>
  <c r="P93" i="9"/>
  <c r="V92" i="9"/>
  <c r="R92" i="9"/>
  <c r="P92" i="9"/>
  <c r="N92" i="9"/>
  <c r="M92" i="9"/>
  <c r="R91" i="9"/>
  <c r="P91" i="9"/>
  <c r="O91" i="9"/>
  <c r="N91" i="9"/>
  <c r="R90" i="9"/>
  <c r="Q90" i="9"/>
  <c r="N90" i="9"/>
  <c r="T89" i="9"/>
  <c r="R89" i="9"/>
  <c r="P89" i="9"/>
  <c r="N89" i="9"/>
  <c r="AF88" i="9"/>
  <c r="V88" i="9"/>
  <c r="Z88" i="9" s="1"/>
  <c r="AG88" i="9" s="1"/>
  <c r="R88" i="9"/>
  <c r="P88" i="9"/>
  <c r="N88" i="9"/>
  <c r="M88" i="9"/>
  <c r="P87" i="9"/>
  <c r="O87" i="9"/>
  <c r="N87" i="9"/>
  <c r="K84" i="9"/>
  <c r="J84" i="9"/>
  <c r="O94" i="9" s="1"/>
  <c r="I84" i="9"/>
  <c r="M94" i="9" s="1"/>
  <c r="K83" i="9"/>
  <c r="Q93" i="9" s="1"/>
  <c r="J83" i="9"/>
  <c r="O93" i="9" s="1"/>
  <c r="I83" i="9"/>
  <c r="M93" i="9" s="1"/>
  <c r="K82" i="9"/>
  <c r="Q92" i="9" s="1"/>
  <c r="J82" i="9"/>
  <c r="U92" i="9" s="1"/>
  <c r="I82" i="9"/>
  <c r="T92" i="9" s="1"/>
  <c r="K81" i="9"/>
  <c r="V91" i="9" s="1"/>
  <c r="J81" i="9"/>
  <c r="U91" i="9" s="1"/>
  <c r="AD91" i="9" s="1"/>
  <c r="I81" i="9"/>
  <c r="M91" i="9" s="1"/>
  <c r="K80" i="9"/>
  <c r="V90" i="9" s="1"/>
  <c r="J80" i="9"/>
  <c r="O90" i="9" s="1"/>
  <c r="I80" i="9"/>
  <c r="M90" i="9" s="1"/>
  <c r="K79" i="9"/>
  <c r="Q89" i="9" s="1"/>
  <c r="J79" i="9"/>
  <c r="O89" i="9" s="1"/>
  <c r="I79" i="9"/>
  <c r="M89" i="9" s="1"/>
  <c r="K78" i="9"/>
  <c r="Q88" i="9" s="1"/>
  <c r="J78" i="9"/>
  <c r="U88" i="9" s="1"/>
  <c r="I78" i="9"/>
  <c r="T88" i="9" s="1"/>
  <c r="K77" i="9"/>
  <c r="Q87" i="9" s="1"/>
  <c r="J77" i="9"/>
  <c r="U87" i="9" s="1"/>
  <c r="AD87" i="9" s="1"/>
  <c r="I77" i="9"/>
  <c r="M87" i="9" s="1"/>
  <c r="A76" i="9"/>
  <c r="T75" i="9"/>
  <c r="U75" i="9" s="1"/>
  <c r="R75" i="9"/>
  <c r="S75" i="9" s="1"/>
  <c r="Q75" i="9"/>
  <c r="P75" i="9"/>
  <c r="N75" i="9"/>
  <c r="O75" i="9" s="1"/>
  <c r="T74" i="9"/>
  <c r="U74" i="9" s="1"/>
  <c r="R74" i="9"/>
  <c r="S74" i="9" s="1"/>
  <c r="Q74" i="9"/>
  <c r="P74" i="9"/>
  <c r="N74" i="9"/>
  <c r="O74" i="9" s="1"/>
  <c r="T73" i="9"/>
  <c r="U73" i="9" s="1"/>
  <c r="R73" i="9"/>
  <c r="S73" i="9" s="1"/>
  <c r="Q73" i="9"/>
  <c r="P73" i="9"/>
  <c r="N73" i="9"/>
  <c r="O73" i="9" s="1"/>
  <c r="T72" i="9"/>
  <c r="U72" i="9" s="1"/>
  <c r="R72" i="9"/>
  <c r="S72" i="9" s="1"/>
  <c r="Q72" i="9"/>
  <c r="P72" i="9"/>
  <c r="N72" i="9"/>
  <c r="O72" i="9" s="1"/>
  <c r="T71" i="9"/>
  <c r="U71" i="9" s="1"/>
  <c r="R71" i="9"/>
  <c r="S71" i="9" s="1"/>
  <c r="Q71" i="9"/>
  <c r="P71" i="9"/>
  <c r="N71" i="9"/>
  <c r="O71" i="9" s="1"/>
  <c r="T70" i="9"/>
  <c r="U70" i="9" s="1"/>
  <c r="R70" i="9"/>
  <c r="S70" i="9" s="1"/>
  <c r="Q70" i="9"/>
  <c r="P70" i="9"/>
  <c r="N70" i="9"/>
  <c r="O70" i="9" s="1"/>
  <c r="T69" i="9"/>
  <c r="U69" i="9" s="1"/>
  <c r="R69" i="9"/>
  <c r="S69" i="9" s="1"/>
  <c r="Q69" i="9"/>
  <c r="P69" i="9"/>
  <c r="N69" i="9"/>
  <c r="O69" i="9" s="1"/>
  <c r="T68" i="9"/>
  <c r="U68" i="9" s="1"/>
  <c r="R68" i="9"/>
  <c r="S68" i="9" s="1"/>
  <c r="Q68" i="9"/>
  <c r="P68" i="9"/>
  <c r="N68" i="9"/>
  <c r="O68" i="9" s="1"/>
  <c r="T51" i="9"/>
  <c r="U51" i="9" s="1"/>
  <c r="R51" i="9"/>
  <c r="S51" i="9" s="1"/>
  <c r="Q51" i="9"/>
  <c r="P51" i="9"/>
  <c r="N51" i="9"/>
  <c r="O51" i="9" s="1"/>
  <c r="T50" i="9"/>
  <c r="U50" i="9" s="1"/>
  <c r="R50" i="9"/>
  <c r="S50" i="9" s="1"/>
  <c r="Q50" i="9"/>
  <c r="P50" i="9"/>
  <c r="N50" i="9"/>
  <c r="O50" i="9" s="1"/>
  <c r="T49" i="9"/>
  <c r="U49" i="9" s="1"/>
  <c r="R49" i="9"/>
  <c r="S49" i="9" s="1"/>
  <c r="Q49" i="9"/>
  <c r="P49" i="9"/>
  <c r="N49" i="9"/>
  <c r="O49" i="9" s="1"/>
  <c r="T48" i="9"/>
  <c r="U48" i="9" s="1"/>
  <c r="R48" i="9"/>
  <c r="S48" i="9" s="1"/>
  <c r="Q48" i="9"/>
  <c r="P48" i="9"/>
  <c r="N48" i="9"/>
  <c r="O48" i="9" s="1"/>
  <c r="T47" i="9"/>
  <c r="U47" i="9" s="1"/>
  <c r="R47" i="9"/>
  <c r="S47" i="9" s="1"/>
  <c r="Q47" i="9"/>
  <c r="P47" i="9"/>
  <c r="N47" i="9"/>
  <c r="O47" i="9" s="1"/>
  <c r="T46" i="9"/>
  <c r="U46" i="9" s="1"/>
  <c r="R46" i="9"/>
  <c r="S46" i="9" s="1"/>
  <c r="Q46" i="9"/>
  <c r="P46" i="9"/>
  <c r="N46" i="9"/>
  <c r="O46" i="9" s="1"/>
  <c r="T45" i="9"/>
  <c r="U45" i="9" s="1"/>
  <c r="R45" i="9"/>
  <c r="S45" i="9" s="1"/>
  <c r="Q45" i="9"/>
  <c r="P45" i="9"/>
  <c r="N45" i="9"/>
  <c r="O45" i="9" s="1"/>
  <c r="T44" i="9"/>
  <c r="U44" i="9" s="1"/>
  <c r="R44" i="9"/>
  <c r="S44" i="9" s="1"/>
  <c r="Q44" i="9"/>
  <c r="P44" i="9"/>
  <c r="N44" i="9"/>
  <c r="O44" i="9" s="1"/>
  <c r="T26" i="9"/>
  <c r="U26" i="9" s="1"/>
  <c r="R26" i="9"/>
  <c r="S26" i="9" s="1"/>
  <c r="Q26" i="9"/>
  <c r="P26" i="9"/>
  <c r="N26" i="9"/>
  <c r="O26" i="9" s="1"/>
  <c r="T25" i="9"/>
  <c r="U25" i="9" s="1"/>
  <c r="R25" i="9"/>
  <c r="S25" i="9" s="1"/>
  <c r="Q25" i="9"/>
  <c r="P25" i="9"/>
  <c r="N25" i="9"/>
  <c r="O25" i="9" s="1"/>
  <c r="T24" i="9"/>
  <c r="U24" i="9" s="1"/>
  <c r="R24" i="9"/>
  <c r="S24" i="9" s="1"/>
  <c r="Q24" i="9"/>
  <c r="P24" i="9"/>
  <c r="N24" i="9"/>
  <c r="O24" i="9" s="1"/>
  <c r="T23" i="9"/>
  <c r="U23" i="9" s="1"/>
  <c r="R23" i="9"/>
  <c r="S23" i="9" s="1"/>
  <c r="Q23" i="9"/>
  <c r="P23" i="9"/>
  <c r="N23" i="9"/>
  <c r="O23" i="9" s="1"/>
  <c r="T22" i="9"/>
  <c r="U22" i="9" s="1"/>
  <c r="R22" i="9"/>
  <c r="S22" i="9" s="1"/>
  <c r="Q22" i="9"/>
  <c r="P22" i="9"/>
  <c r="N22" i="9"/>
  <c r="O22" i="9" s="1"/>
  <c r="T21" i="9"/>
  <c r="U21" i="9" s="1"/>
  <c r="R21" i="9"/>
  <c r="S21" i="9" s="1"/>
  <c r="Q21" i="9"/>
  <c r="P21" i="9"/>
  <c r="N21" i="9"/>
  <c r="O21" i="9" s="1"/>
  <c r="T20" i="9"/>
  <c r="U20" i="9" s="1"/>
  <c r="R20" i="9"/>
  <c r="S20" i="9" s="1"/>
  <c r="Q20" i="9"/>
  <c r="P20" i="9"/>
  <c r="N20" i="9"/>
  <c r="O20" i="9" s="1"/>
  <c r="T19" i="9"/>
  <c r="U19" i="9" s="1"/>
  <c r="R19" i="9"/>
  <c r="S19" i="9" s="1"/>
  <c r="Q19" i="9"/>
  <c r="P19" i="9"/>
  <c r="N19" i="9"/>
  <c r="O19" i="9" s="1"/>
  <c r="J10" i="8"/>
  <c r="K10" i="8" s="1"/>
  <c r="I10" i="8"/>
  <c r="G10" i="8"/>
  <c r="M9" i="8"/>
  <c r="L9" i="8"/>
  <c r="M10" i="8" s="1"/>
  <c r="J9" i="8"/>
  <c r="K9" i="8" s="1"/>
  <c r="I9" i="8"/>
  <c r="G9" i="8"/>
  <c r="J8" i="8"/>
  <c r="K8" i="8" s="1"/>
  <c r="I8" i="8"/>
  <c r="G8" i="8"/>
  <c r="J7" i="8"/>
  <c r="K7" i="8" s="1"/>
  <c r="I7" i="8"/>
  <c r="G7" i="8"/>
  <c r="J6" i="8"/>
  <c r="K6" i="8" s="1"/>
  <c r="I6" i="8"/>
  <c r="G6" i="8"/>
  <c r="J5" i="8"/>
  <c r="I5" i="8"/>
  <c r="G5" i="8"/>
  <c r="J4" i="8"/>
  <c r="I4" i="8"/>
  <c r="G4" i="8"/>
  <c r="C3" i="8"/>
  <c r="G3" i="8" s="1"/>
  <c r="B3" i="8"/>
  <c r="L27" i="7"/>
  <c r="AD7" i="7"/>
  <c r="AC7" i="7"/>
  <c r="AB7" i="7"/>
  <c r="AA7" i="7"/>
  <c r="Z7" i="7"/>
  <c r="Y7" i="7"/>
  <c r="X7" i="7"/>
  <c r="I2" i="7"/>
  <c r="Q6" i="4"/>
  <c r="P6" i="4"/>
  <c r="O6" i="4"/>
  <c r="N6" i="4"/>
  <c r="M6" i="4"/>
  <c r="L6" i="4"/>
  <c r="K6" i="4"/>
  <c r="J6" i="4"/>
  <c r="H6" i="4"/>
  <c r="G6" i="4"/>
  <c r="F6" i="4"/>
  <c r="E6" i="4"/>
  <c r="D6" i="4"/>
  <c r="C6" i="4"/>
  <c r="B6" i="4"/>
  <c r="A6" i="4"/>
  <c r="Q3" i="4"/>
  <c r="P3" i="4"/>
  <c r="O3" i="4"/>
  <c r="N3" i="4"/>
  <c r="M3" i="4"/>
  <c r="L3" i="4"/>
  <c r="K3" i="4"/>
  <c r="J3" i="4"/>
  <c r="R3" i="4" s="1"/>
  <c r="H3" i="4"/>
  <c r="G3" i="4"/>
  <c r="F3" i="4"/>
  <c r="E3" i="4"/>
  <c r="D3" i="4"/>
  <c r="C3" i="4"/>
  <c r="B3" i="4"/>
  <c r="O32" i="3"/>
  <c r="O31" i="3"/>
  <c r="O30" i="3"/>
  <c r="O29" i="3"/>
  <c r="BA28" i="3"/>
  <c r="AX28" i="3"/>
  <c r="O28" i="3"/>
  <c r="BA27" i="3"/>
  <c r="BA29" i="3" s="1"/>
  <c r="BA31" i="3" s="1"/>
  <c r="BA32" i="3" s="1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Q10" i="3"/>
  <c r="Q43" i="3" s="1"/>
  <c r="N10" i="3"/>
  <c r="M10" i="3"/>
  <c r="V32" i="3" s="1"/>
  <c r="L10" i="3"/>
  <c r="AJ21" i="3" s="1"/>
  <c r="K10" i="3"/>
  <c r="J10" i="3"/>
  <c r="I10" i="3"/>
  <c r="H10" i="3"/>
  <c r="G10" i="3"/>
  <c r="F10" i="3"/>
  <c r="E10" i="3"/>
  <c r="D10" i="3"/>
  <c r="C10" i="3"/>
  <c r="AI10" i="3" s="1"/>
  <c r="B10" i="3"/>
  <c r="N9" i="3"/>
  <c r="M9" i="3"/>
  <c r="L9" i="3"/>
  <c r="K9" i="3"/>
  <c r="J9" i="3"/>
  <c r="I9" i="3"/>
  <c r="H9" i="3"/>
  <c r="G9" i="3"/>
  <c r="V9" i="3" s="1"/>
  <c r="F9" i="3"/>
  <c r="E9" i="3"/>
  <c r="S9" i="3" s="1"/>
  <c r="S42" i="3" s="1"/>
  <c r="D9" i="3"/>
  <c r="C9" i="3"/>
  <c r="B9" i="3"/>
  <c r="N8" i="3"/>
  <c r="M8" i="3"/>
  <c r="L8" i="3"/>
  <c r="K8" i="3"/>
  <c r="J8" i="3"/>
  <c r="I8" i="3"/>
  <c r="H8" i="3"/>
  <c r="G8" i="3"/>
  <c r="F8" i="3"/>
  <c r="E8" i="3"/>
  <c r="D8" i="3"/>
  <c r="C8" i="3"/>
  <c r="B8" i="3"/>
  <c r="N7" i="3"/>
  <c r="M7" i="3"/>
  <c r="L7" i="3"/>
  <c r="K7" i="3"/>
  <c r="J7" i="3"/>
  <c r="I7" i="3"/>
  <c r="H7" i="3"/>
  <c r="G7" i="3"/>
  <c r="F7" i="3"/>
  <c r="E7" i="3"/>
  <c r="D7" i="3"/>
  <c r="R7" i="3" s="1"/>
  <c r="R40" i="3" s="1"/>
  <c r="C7" i="3"/>
  <c r="AI7" i="3" s="1"/>
  <c r="B7" i="3"/>
  <c r="N6" i="3"/>
  <c r="M6" i="3"/>
  <c r="L6" i="3"/>
  <c r="K6" i="3"/>
  <c r="J6" i="3"/>
  <c r="I6" i="3"/>
  <c r="H6" i="3"/>
  <c r="G6" i="3"/>
  <c r="F6" i="3"/>
  <c r="E6" i="3"/>
  <c r="D6" i="3"/>
  <c r="C6" i="3"/>
  <c r="B6" i="3"/>
  <c r="U6" i="3" s="1"/>
  <c r="N5" i="3"/>
  <c r="M5" i="3"/>
  <c r="L5" i="3"/>
  <c r="K5" i="3"/>
  <c r="J5" i="3"/>
  <c r="I5" i="3"/>
  <c r="H5" i="3"/>
  <c r="G5" i="3"/>
  <c r="F5" i="3"/>
  <c r="E5" i="3"/>
  <c r="D5" i="3"/>
  <c r="C5" i="3"/>
  <c r="B5" i="3"/>
  <c r="T5" i="3" s="1"/>
  <c r="T38" i="3" s="1"/>
  <c r="N4" i="3"/>
  <c r="N3" i="3" s="1"/>
  <c r="M4" i="3"/>
  <c r="L4" i="3"/>
  <c r="L3" i="3" s="1"/>
  <c r="K4" i="3"/>
  <c r="J4" i="3"/>
  <c r="I4" i="3"/>
  <c r="H4" i="3"/>
  <c r="G4" i="3"/>
  <c r="G3" i="3" s="1"/>
  <c r="F4" i="3"/>
  <c r="F3" i="3" s="1"/>
  <c r="E4" i="3"/>
  <c r="D4" i="3"/>
  <c r="C4" i="3"/>
  <c r="AI4" i="3" s="1"/>
  <c r="B4" i="3"/>
  <c r="I3" i="3"/>
  <c r="H3" i="3"/>
  <c r="A3" i="3"/>
  <c r="B3" i="3" s="1"/>
  <c r="Q10" i="2"/>
  <c r="I10" i="2"/>
  <c r="H10" i="2"/>
  <c r="P10" i="2" s="1"/>
  <c r="G10" i="2"/>
  <c r="O10" i="2" s="1"/>
  <c r="F10" i="2"/>
  <c r="N10" i="2" s="1"/>
  <c r="E10" i="2"/>
  <c r="M10" i="2" s="1"/>
  <c r="D10" i="2"/>
  <c r="L10" i="2" s="1"/>
  <c r="C10" i="2"/>
  <c r="B10" i="2"/>
  <c r="K10" i="2" s="1"/>
  <c r="I9" i="2"/>
  <c r="Q9" i="2" s="1"/>
  <c r="H9" i="2"/>
  <c r="P9" i="2" s="1"/>
  <c r="G9" i="2"/>
  <c r="O9" i="2" s="1"/>
  <c r="F9" i="2"/>
  <c r="E9" i="2"/>
  <c r="M9" i="2" s="1"/>
  <c r="D9" i="2"/>
  <c r="L9" i="2" s="1"/>
  <c r="C9" i="2"/>
  <c r="B9" i="2"/>
  <c r="I8" i="2"/>
  <c r="H8" i="2"/>
  <c r="G8" i="2"/>
  <c r="F8" i="2"/>
  <c r="E8" i="2"/>
  <c r="M8" i="2" s="1"/>
  <c r="D8" i="2"/>
  <c r="C8" i="2"/>
  <c r="B8" i="2"/>
  <c r="K8" i="2" s="1"/>
  <c r="P7" i="2"/>
  <c r="I7" i="2"/>
  <c r="Q7" i="2" s="1"/>
  <c r="H7" i="2"/>
  <c r="G7" i="2"/>
  <c r="O7" i="2" s="1"/>
  <c r="F7" i="2"/>
  <c r="N7" i="2" s="1"/>
  <c r="E7" i="2"/>
  <c r="M7" i="2" s="1"/>
  <c r="D7" i="2"/>
  <c r="C7" i="2"/>
  <c r="B7" i="2"/>
  <c r="I6" i="2"/>
  <c r="Q6" i="2" s="1"/>
  <c r="H6" i="2"/>
  <c r="G6" i="2"/>
  <c r="F6" i="2"/>
  <c r="N6" i="2" s="1"/>
  <c r="E6" i="2"/>
  <c r="M6" i="2" s="1"/>
  <c r="D6" i="2"/>
  <c r="C6" i="2"/>
  <c r="B6" i="2"/>
  <c r="O6" i="2" s="1"/>
  <c r="I5" i="2"/>
  <c r="Q5" i="2" s="1"/>
  <c r="H5" i="2"/>
  <c r="G5" i="2"/>
  <c r="F5" i="2"/>
  <c r="E5" i="2"/>
  <c r="D5" i="2"/>
  <c r="C5" i="2"/>
  <c r="B5" i="2"/>
  <c r="P5" i="2" s="1"/>
  <c r="I4" i="2"/>
  <c r="H4" i="2"/>
  <c r="G4" i="2"/>
  <c r="F4" i="2"/>
  <c r="F2" i="2" s="1"/>
  <c r="E4" i="2"/>
  <c r="D4" i="2"/>
  <c r="C4" i="2"/>
  <c r="C2" i="2" s="1"/>
  <c r="B4" i="2"/>
  <c r="M4" i="2" s="1"/>
  <c r="U31" i="1"/>
  <c r="U32" i="1" s="1"/>
  <c r="U30" i="1"/>
  <c r="N30" i="1"/>
  <c r="N29" i="1"/>
  <c r="U28" i="1"/>
  <c r="N28" i="1"/>
  <c r="N27" i="1"/>
  <c r="N26" i="1"/>
  <c r="N25" i="1"/>
  <c r="N24" i="1"/>
  <c r="N23" i="1"/>
  <c r="N22" i="1"/>
  <c r="N21" i="1"/>
  <c r="P20" i="1"/>
  <c r="N20" i="1"/>
  <c r="N19" i="1"/>
  <c r="N18" i="1"/>
  <c r="T17" i="1"/>
  <c r="N17" i="1"/>
  <c r="N16" i="1"/>
  <c r="N15" i="1"/>
  <c r="N14" i="1"/>
  <c r="N13" i="1"/>
  <c r="N12" i="1"/>
  <c r="N10" i="1"/>
  <c r="N9" i="1"/>
  <c r="N8" i="1"/>
  <c r="C6" i="1"/>
  <c r="J4" i="1"/>
  <c r="J7" i="1" s="1"/>
  <c r="D4" i="1"/>
  <c r="D7" i="1" s="1"/>
  <c r="A4" i="1"/>
  <c r="M3" i="1"/>
  <c r="M6" i="1" s="1"/>
  <c r="L3" i="1"/>
  <c r="K3" i="1"/>
  <c r="L5" i="1" s="1"/>
  <c r="J3" i="1"/>
  <c r="Q28" i="1" s="1"/>
  <c r="I3" i="1"/>
  <c r="I5" i="1" s="1"/>
  <c r="H3" i="1"/>
  <c r="H4" i="1" s="1"/>
  <c r="F3" i="1"/>
  <c r="F4" i="1" s="1"/>
  <c r="E3" i="1"/>
  <c r="E4" i="1" s="1"/>
  <c r="D3" i="1"/>
  <c r="D6" i="1" s="1"/>
  <c r="C3" i="1"/>
  <c r="B3" i="1"/>
  <c r="B5" i="1" s="1"/>
  <c r="A3" i="1"/>
  <c r="I3" i="4" l="1"/>
  <c r="B4" i="1"/>
  <c r="E6" i="1" s="1"/>
  <c r="I4" i="1"/>
  <c r="O11" i="1" s="1"/>
  <c r="B6" i="1"/>
  <c r="L6" i="1"/>
  <c r="L4" i="1"/>
  <c r="J5" i="1"/>
  <c r="O3" i="1"/>
  <c r="L6" i="2"/>
  <c r="N8" i="2"/>
  <c r="D2" i="2"/>
  <c r="K6" i="2"/>
  <c r="L8" i="2"/>
  <c r="K9" i="2"/>
  <c r="O4" i="2"/>
  <c r="P4" i="2"/>
  <c r="G2" i="2"/>
  <c r="K7" i="2"/>
  <c r="N9" i="2"/>
  <c r="H2" i="2"/>
  <c r="Q4" i="2"/>
  <c r="P6" i="2"/>
  <c r="L7" i="2"/>
  <c r="AJ7" i="3"/>
  <c r="AI19" i="3"/>
  <c r="U20" i="3"/>
  <c r="Q8" i="3"/>
  <c r="Q41" i="3" s="1"/>
  <c r="W10" i="3"/>
  <c r="AI15" i="3"/>
  <c r="R8" i="3"/>
  <c r="R41" i="3" s="1"/>
  <c r="X4" i="3"/>
  <c r="X37" i="3" s="1"/>
  <c r="S5" i="3"/>
  <c r="S38" i="3" s="1"/>
  <c r="X7" i="3"/>
  <c r="S8" i="3"/>
  <c r="S41" i="3" s="1"/>
  <c r="T10" i="3"/>
  <c r="T43" i="3" s="1"/>
  <c r="R32" i="3"/>
  <c r="W16" i="3"/>
  <c r="W6" i="3"/>
  <c r="W39" i="3" s="1"/>
  <c r="U8" i="3"/>
  <c r="AC8" i="3" s="1"/>
  <c r="AK10" i="3"/>
  <c r="U21" i="3"/>
  <c r="D3" i="3"/>
  <c r="AJ5" i="3"/>
  <c r="AO5" i="3" s="1"/>
  <c r="V8" i="3"/>
  <c r="R31" i="3"/>
  <c r="AO7" i="3"/>
  <c r="E3" i="3"/>
  <c r="AP5" i="3"/>
  <c r="S31" i="3"/>
  <c r="X3" i="3"/>
  <c r="W3" i="3"/>
  <c r="AP7" i="3"/>
  <c r="P8" i="3"/>
  <c r="O8" i="3" s="1"/>
  <c r="X40" i="3"/>
  <c r="E7" i="1"/>
  <c r="F7" i="1"/>
  <c r="H7" i="1" s="1"/>
  <c r="R3" i="3"/>
  <c r="R36" i="3" s="1"/>
  <c r="V41" i="3"/>
  <c r="Z41" i="3" s="1"/>
  <c r="AD8" i="3"/>
  <c r="Z8" i="3"/>
  <c r="V3" i="3"/>
  <c r="S3" i="3"/>
  <c r="S36" i="3" s="1"/>
  <c r="U39" i="3"/>
  <c r="AM7" i="3"/>
  <c r="K5" i="2"/>
  <c r="AL15" i="3"/>
  <c r="R15" i="3"/>
  <c r="R26" i="3"/>
  <c r="R4" i="3"/>
  <c r="R37" i="3" s="1"/>
  <c r="AJ4" i="3"/>
  <c r="AP4" i="3" s="1"/>
  <c r="V27" i="3"/>
  <c r="V16" i="3"/>
  <c r="U5" i="3"/>
  <c r="P6" i="3"/>
  <c r="O6" i="3" s="1"/>
  <c r="X6" i="3"/>
  <c r="S29" i="3"/>
  <c r="S7" i="3"/>
  <c r="S40" i="3" s="1"/>
  <c r="AK7" i="3"/>
  <c r="W30" i="3"/>
  <c r="W19" i="3"/>
  <c r="W8" i="3"/>
  <c r="AI8" i="3"/>
  <c r="Q31" i="3"/>
  <c r="W43" i="3"/>
  <c r="I6" i="4"/>
  <c r="E7" i="4" s="1"/>
  <c r="E8" i="4" s="1"/>
  <c r="AD142" i="9"/>
  <c r="Y142" i="9"/>
  <c r="AE142" i="9" s="1"/>
  <c r="M5" i="1"/>
  <c r="P3" i="1"/>
  <c r="C4" i="1"/>
  <c r="C7" i="1" s="1"/>
  <c r="K4" i="1"/>
  <c r="E5" i="1"/>
  <c r="O5" i="1"/>
  <c r="I2" i="2"/>
  <c r="K4" i="2"/>
  <c r="L5" i="2"/>
  <c r="O8" i="2"/>
  <c r="AM15" i="3"/>
  <c r="S15" i="3"/>
  <c r="S4" i="3"/>
  <c r="S37" i="3" s="1"/>
  <c r="AK4" i="3"/>
  <c r="W27" i="3"/>
  <c r="V5" i="3"/>
  <c r="AK17" i="3"/>
  <c r="Q28" i="3"/>
  <c r="AI17" i="3"/>
  <c r="Q17" i="3"/>
  <c r="Q6" i="3"/>
  <c r="Q39" i="3" s="1"/>
  <c r="AI6" i="3"/>
  <c r="AM6" i="3" s="1"/>
  <c r="X29" i="3"/>
  <c r="AN18" i="3"/>
  <c r="U18" i="3"/>
  <c r="U29" i="3"/>
  <c r="AJ18" i="3"/>
  <c r="T7" i="3"/>
  <c r="T40" i="3" s="1"/>
  <c r="AL7" i="3"/>
  <c r="AR7" i="3" s="1"/>
  <c r="X8" i="3"/>
  <c r="AJ8" i="3"/>
  <c r="AP8" i="3" s="1"/>
  <c r="T9" i="3"/>
  <c r="T42" i="3" s="1"/>
  <c r="AK21" i="3"/>
  <c r="Q32" i="3"/>
  <c r="AI21" i="3"/>
  <c r="Q21" i="3"/>
  <c r="M140" i="9"/>
  <c r="T140" i="9"/>
  <c r="X26" i="3"/>
  <c r="U15" i="3"/>
  <c r="U26" i="3"/>
  <c r="AJ15" i="3"/>
  <c r="AN15" i="3" s="1"/>
  <c r="T4" i="3"/>
  <c r="T37" i="3" s="1"/>
  <c r="AL4" i="3"/>
  <c r="W5" i="3"/>
  <c r="R28" i="3"/>
  <c r="R17" i="3"/>
  <c r="AL17" i="3"/>
  <c r="R6" i="3"/>
  <c r="R39" i="3" s="1"/>
  <c r="AJ6" i="3"/>
  <c r="AO6" i="3" s="1"/>
  <c r="AO18" i="3"/>
  <c r="V18" i="3"/>
  <c r="V29" i="3"/>
  <c r="U7" i="3"/>
  <c r="AK8" i="3"/>
  <c r="AK9" i="3"/>
  <c r="AI9" i="3"/>
  <c r="Q9" i="3"/>
  <c r="Q42" i="3" s="1"/>
  <c r="Q15" i="3"/>
  <c r="T15" i="3" s="1"/>
  <c r="S18" i="3"/>
  <c r="Z32" i="3"/>
  <c r="AD32" i="3"/>
  <c r="F5" i="1"/>
  <c r="L7" i="1"/>
  <c r="P15" i="1" s="1"/>
  <c r="B2" i="2"/>
  <c r="F3" i="2" s="1"/>
  <c r="L4" i="2"/>
  <c r="M5" i="2"/>
  <c r="P8" i="2"/>
  <c r="Q14" i="3"/>
  <c r="Q8" i="2"/>
  <c r="J3" i="3"/>
  <c r="AJ3" i="3"/>
  <c r="AP3" i="3" s="1"/>
  <c r="AO15" i="3"/>
  <c r="V15" i="3"/>
  <c r="V26" i="3"/>
  <c r="U4" i="3"/>
  <c r="AM4" i="3"/>
  <c r="P5" i="3"/>
  <c r="O5" i="3" s="1"/>
  <c r="X5" i="3"/>
  <c r="S17" i="3"/>
  <c r="S28" i="3"/>
  <c r="S6" i="3"/>
  <c r="S39" i="3" s="1"/>
  <c r="AP18" i="3"/>
  <c r="W18" i="3"/>
  <c r="W29" i="3"/>
  <c r="V7" i="3"/>
  <c r="AN7" i="3"/>
  <c r="Q30" i="3"/>
  <c r="AK19" i="3"/>
  <c r="AN8" i="3"/>
  <c r="AL9" i="3"/>
  <c r="AD88" i="9"/>
  <c r="Y88" i="9"/>
  <c r="AE88" i="9" s="1"/>
  <c r="AF109" i="9"/>
  <c r="Z109" i="9"/>
  <c r="AG109" i="9" s="1"/>
  <c r="M138" i="9"/>
  <c r="T138" i="9"/>
  <c r="D5" i="1"/>
  <c r="Q3" i="1"/>
  <c r="Q5" i="1" s="1"/>
  <c r="R3" i="1"/>
  <c r="R5" i="1" s="1"/>
  <c r="M4" i="1"/>
  <c r="H5" i="1"/>
  <c r="N5" i="2"/>
  <c r="N4" i="2"/>
  <c r="O5" i="2"/>
  <c r="C3" i="3"/>
  <c r="K3" i="3"/>
  <c r="W26" i="3"/>
  <c r="W15" i="3"/>
  <c r="AP15" i="3"/>
  <c r="V4" i="3"/>
  <c r="Q27" i="3"/>
  <c r="AI16" i="3"/>
  <c r="Q16" i="3"/>
  <c r="T16" i="3" s="1"/>
  <c r="Q5" i="3"/>
  <c r="Q38" i="3" s="1"/>
  <c r="AI5" i="3"/>
  <c r="AM5" i="3" s="1"/>
  <c r="AJ17" i="3"/>
  <c r="AN17" i="3" s="1"/>
  <c r="X28" i="3"/>
  <c r="T6" i="3"/>
  <c r="T39" i="3" s="1"/>
  <c r="W7" i="3"/>
  <c r="T8" i="3"/>
  <c r="T41" i="3" s="1"/>
  <c r="R30" i="3"/>
  <c r="AL19" i="3"/>
  <c r="R19" i="3"/>
  <c r="AO8" i="3"/>
  <c r="AL10" i="3"/>
  <c r="AN21" i="3"/>
  <c r="U28" i="3"/>
  <c r="E2" i="2"/>
  <c r="W4" i="3"/>
  <c r="R27" i="3"/>
  <c r="R16" i="3"/>
  <c r="R5" i="3"/>
  <c r="R38" i="3" s="1"/>
  <c r="V28" i="3"/>
  <c r="V17" i="3"/>
  <c r="P7" i="3"/>
  <c r="O7" i="3" s="1"/>
  <c r="AM19" i="3"/>
  <c r="S19" i="3"/>
  <c r="S30" i="3"/>
  <c r="AJ9" i="3"/>
  <c r="AN9" i="3" s="1"/>
  <c r="U9" i="3"/>
  <c r="W31" i="3"/>
  <c r="AM10" i="3"/>
  <c r="AO21" i="3"/>
  <c r="U17" i="3"/>
  <c r="W20" i="3"/>
  <c r="S26" i="3"/>
  <c r="O7" i="4"/>
  <c r="O8" i="4" s="1"/>
  <c r="A5" i="1"/>
  <c r="K6" i="1"/>
  <c r="N6" i="1" s="1"/>
  <c r="U14" i="3"/>
  <c r="U25" i="3"/>
  <c r="K5" i="1"/>
  <c r="M3" i="3"/>
  <c r="U3" i="3"/>
  <c r="P4" i="3"/>
  <c r="AM16" i="3"/>
  <c r="S16" i="3"/>
  <c r="AA16" i="3" s="1"/>
  <c r="S27" i="3"/>
  <c r="W28" i="3"/>
  <c r="W17" i="3"/>
  <c r="V6" i="3"/>
  <c r="Q29" i="3"/>
  <c r="AI18" i="3"/>
  <c r="AK18" i="3" s="1"/>
  <c r="Q18" i="3"/>
  <c r="Q7" i="3"/>
  <c r="Q40" i="3" s="1"/>
  <c r="AL8" i="3"/>
  <c r="AO9" i="3"/>
  <c r="V42" i="3"/>
  <c r="AP21" i="3"/>
  <c r="G7" i="4"/>
  <c r="G8" i="4" s="1"/>
  <c r="C5" i="1"/>
  <c r="W25" i="3"/>
  <c r="W14" i="3"/>
  <c r="Q26" i="3"/>
  <c r="T26" i="3" s="1"/>
  <c r="AK15" i="3"/>
  <c r="Q4" i="3"/>
  <c r="Q37" i="3" s="1"/>
  <c r="U16" i="3"/>
  <c r="X27" i="3"/>
  <c r="AJ16" i="3"/>
  <c r="AN16" i="3" s="1"/>
  <c r="U27" i="3"/>
  <c r="R29" i="3"/>
  <c r="AL18" i="3"/>
  <c r="R18" i="3"/>
  <c r="AM8" i="3"/>
  <c r="V19" i="3"/>
  <c r="V30" i="3"/>
  <c r="AP9" i="3"/>
  <c r="AM17" i="3"/>
  <c r="Q19" i="3"/>
  <c r="T19" i="3" s="1"/>
  <c r="U31" i="3"/>
  <c r="Z92" i="9"/>
  <c r="AG92" i="9" s="1"/>
  <c r="AF92" i="9"/>
  <c r="AD111" i="9"/>
  <c r="Y111" i="9"/>
  <c r="AE111" i="9" s="1"/>
  <c r="V31" i="3"/>
  <c r="AM9" i="3"/>
  <c r="P10" i="3"/>
  <c r="O10" i="3" s="1"/>
  <c r="X10" i="3"/>
  <c r="V20" i="3"/>
  <c r="AL21" i="3"/>
  <c r="U32" i="3"/>
  <c r="AB88" i="9"/>
  <c r="X88" i="9"/>
  <c r="AC88" i="9" s="1"/>
  <c r="Z90" i="9"/>
  <c r="AG90" i="9" s="1"/>
  <c r="AF90" i="9"/>
  <c r="Y87" i="9"/>
  <c r="AE87" i="9" s="1"/>
  <c r="U109" i="9"/>
  <c r="P109" i="9"/>
  <c r="Y140" i="9"/>
  <c r="AE140" i="9" s="1"/>
  <c r="AD140" i="9"/>
  <c r="W9" i="3"/>
  <c r="R10" i="3"/>
  <c r="R43" i="3" s="1"/>
  <c r="AJ10" i="3"/>
  <c r="AO10" i="3" s="1"/>
  <c r="AJ19" i="3"/>
  <c r="V21" i="3"/>
  <c r="U30" i="3"/>
  <c r="W32" i="3"/>
  <c r="K5" i="8"/>
  <c r="AB89" i="9"/>
  <c r="X89" i="9"/>
  <c r="AC89" i="9" s="1"/>
  <c r="Y112" i="9"/>
  <c r="AE112" i="9" s="1"/>
  <c r="AF142" i="9"/>
  <c r="Z142" i="9"/>
  <c r="AG142" i="9" s="1"/>
  <c r="P136" i="9"/>
  <c r="U136" i="9"/>
  <c r="P9" i="3"/>
  <c r="O9" i="3" s="1"/>
  <c r="X9" i="3"/>
  <c r="AM21" i="3"/>
  <c r="S10" i="3"/>
  <c r="S43" i="3" s="1"/>
  <c r="Q20" i="3"/>
  <c r="AI20" i="3"/>
  <c r="W21" i="3"/>
  <c r="X31" i="3"/>
  <c r="X32" i="3"/>
  <c r="AE7" i="7"/>
  <c r="AF91" i="9"/>
  <c r="Z91" i="9"/>
  <c r="AG91" i="9" s="1"/>
  <c r="Z94" i="9"/>
  <c r="AG94" i="9" s="1"/>
  <c r="AF94" i="9"/>
  <c r="AB108" i="9"/>
  <c r="X108" i="9"/>
  <c r="AC108" i="9" s="1"/>
  <c r="N114" i="9"/>
  <c r="T114" i="9"/>
  <c r="R20" i="3"/>
  <c r="AJ20" i="3"/>
  <c r="AN20" i="3" s="1"/>
  <c r="X30" i="3"/>
  <c r="AB92" i="9"/>
  <c r="X92" i="9"/>
  <c r="AC92" i="9" s="1"/>
  <c r="Y91" i="9"/>
  <c r="AE91" i="9" s="1"/>
  <c r="Z110" i="9"/>
  <c r="AG110" i="9" s="1"/>
  <c r="AF110" i="9"/>
  <c r="AB113" i="9"/>
  <c r="X113" i="9"/>
  <c r="AC113" i="9" s="1"/>
  <c r="V135" i="9"/>
  <c r="R135" i="9"/>
  <c r="R9" i="3"/>
  <c r="U10" i="3"/>
  <c r="U19" i="3"/>
  <c r="S20" i="3"/>
  <c r="H7" i="4"/>
  <c r="H8" i="4" s="1"/>
  <c r="P7" i="4"/>
  <c r="P8" i="4" s="1"/>
  <c r="AD92" i="9"/>
  <c r="Y92" i="9"/>
  <c r="AE92" i="9" s="1"/>
  <c r="T93" i="9"/>
  <c r="AB111" i="9"/>
  <c r="X111" i="9"/>
  <c r="AC111" i="9" s="1"/>
  <c r="AD113" i="9"/>
  <c r="Y113" i="9"/>
  <c r="AE113" i="9" s="1"/>
  <c r="AB115" i="9"/>
  <c r="X115" i="9"/>
  <c r="AC115" i="9" s="1"/>
  <c r="AD139" i="9"/>
  <c r="Y139" i="9"/>
  <c r="AE139" i="9" s="1"/>
  <c r="V10" i="3"/>
  <c r="R21" i="3"/>
  <c r="V87" i="9"/>
  <c r="R87" i="9"/>
  <c r="P90" i="9"/>
  <c r="U90" i="9"/>
  <c r="Q108" i="9"/>
  <c r="V108" i="9"/>
  <c r="V114" i="9"/>
  <c r="Q114" i="9"/>
  <c r="AB137" i="9"/>
  <c r="X137" i="9"/>
  <c r="AC137" i="9" s="1"/>
  <c r="AF139" i="9"/>
  <c r="Z139" i="9"/>
  <c r="AG139" i="9" s="1"/>
  <c r="Z138" i="9"/>
  <c r="AG138" i="9" s="1"/>
  <c r="P140" i="9"/>
  <c r="S21" i="3"/>
  <c r="S32" i="3"/>
  <c r="R6" i="4"/>
  <c r="K4" i="8"/>
  <c r="AF112" i="9"/>
  <c r="Z112" i="9"/>
  <c r="AG112" i="9" s="1"/>
  <c r="AD137" i="9"/>
  <c r="Y137" i="9"/>
  <c r="AE137" i="9" s="1"/>
  <c r="AB141" i="9"/>
  <c r="X141" i="9"/>
  <c r="AC141" i="9" s="1"/>
  <c r="U89" i="9"/>
  <c r="U93" i="9"/>
  <c r="U108" i="9"/>
  <c r="M111" i="9"/>
  <c r="V111" i="9"/>
  <c r="U115" i="9"/>
  <c r="K131" i="9"/>
  <c r="Q135" i="9" s="1"/>
  <c r="T136" i="9"/>
  <c r="Q138" i="9"/>
  <c r="O139" i="9"/>
  <c r="Q140" i="9"/>
  <c r="U141" i="9"/>
  <c r="O142" i="9"/>
  <c r="O88" i="9"/>
  <c r="V89" i="9"/>
  <c r="T90" i="9"/>
  <c r="Q91" i="9"/>
  <c r="O92" i="9"/>
  <c r="V93" i="9"/>
  <c r="T94" i="9"/>
  <c r="T110" i="9"/>
  <c r="Q112" i="9"/>
  <c r="O113" i="9"/>
  <c r="V115" i="9"/>
  <c r="O137" i="9"/>
  <c r="I140" i="9"/>
  <c r="V141" i="9"/>
  <c r="U94" i="9"/>
  <c r="Q109" i="9"/>
  <c r="U110" i="9"/>
  <c r="V136" i="9"/>
  <c r="Q139" i="9"/>
  <c r="J140" i="9"/>
  <c r="Q142" i="9"/>
  <c r="T87" i="9"/>
  <c r="T91" i="9"/>
  <c r="T112" i="9"/>
  <c r="U114" i="9"/>
  <c r="U138" i="9"/>
  <c r="T109" i="9"/>
  <c r="T139" i="9"/>
  <c r="T142" i="9"/>
  <c r="M7" i="4" l="1"/>
  <c r="M8" i="4" s="1"/>
  <c r="D7" i="4"/>
  <c r="D8" i="4" s="1"/>
  <c r="Q7" i="4"/>
  <c r="Q8" i="4" s="1"/>
  <c r="G7" i="1"/>
  <c r="P10" i="1"/>
  <c r="E3" i="2"/>
  <c r="D3" i="2"/>
  <c r="Y21" i="3"/>
  <c r="T31" i="3"/>
  <c r="Y8" i="3"/>
  <c r="U41" i="3"/>
  <c r="Y41" i="3" s="1"/>
  <c r="AN5" i="3"/>
  <c r="AO17" i="3"/>
  <c r="AU17" i="3" s="1"/>
  <c r="T30" i="3"/>
  <c r="AB30" i="3" s="1"/>
  <c r="T20" i="3"/>
  <c r="AN10" i="3"/>
  <c r="AT10" i="3" s="1"/>
  <c r="AT15" i="3"/>
  <c r="AQ15" i="3"/>
  <c r="AT9" i="3"/>
  <c r="AQ9" i="3"/>
  <c r="AQ17" i="3"/>
  <c r="AT17" i="3"/>
  <c r="AS5" i="3"/>
  <c r="AV5" i="3"/>
  <c r="AV4" i="3"/>
  <c r="AS4" i="3"/>
  <c r="AU10" i="3"/>
  <c r="AR10" i="3"/>
  <c r="X91" i="9"/>
  <c r="AC91" i="9" s="1"/>
  <c r="AB91" i="9"/>
  <c r="AB142" i="9"/>
  <c r="X142" i="9"/>
  <c r="AC142" i="9" s="1"/>
  <c r="N135" i="9"/>
  <c r="T135" i="9"/>
  <c r="Y93" i="9"/>
  <c r="AE93" i="9" s="1"/>
  <c r="AD93" i="9"/>
  <c r="Z21" i="3"/>
  <c r="AD21" i="3"/>
  <c r="AD109" i="9"/>
  <c r="Y109" i="9"/>
  <c r="AE109" i="9" s="1"/>
  <c r="AS9" i="3"/>
  <c r="AV9" i="3"/>
  <c r="AT16" i="3"/>
  <c r="Z42" i="3"/>
  <c r="AD42" i="3" s="1"/>
  <c r="V39" i="3"/>
  <c r="Z39" i="3" s="1"/>
  <c r="AD6" i="3"/>
  <c r="Z6" i="3"/>
  <c r="U36" i="3"/>
  <c r="Y36" i="3" s="1"/>
  <c r="AA31" i="3"/>
  <c r="AE31" i="3"/>
  <c r="Z28" i="3"/>
  <c r="AD28" i="3"/>
  <c r="AE26" i="3"/>
  <c r="AA26" i="3"/>
  <c r="AU15" i="3"/>
  <c r="AR15" i="3"/>
  <c r="Y26" i="3"/>
  <c r="AC26" i="3"/>
  <c r="T32" i="3"/>
  <c r="AF32" i="3" s="1"/>
  <c r="Y29" i="3"/>
  <c r="AC29" i="3"/>
  <c r="T28" i="3"/>
  <c r="AB28" i="3" s="1"/>
  <c r="AA43" i="3"/>
  <c r="U38" i="3"/>
  <c r="Y38" i="3" s="1"/>
  <c r="Y5" i="3"/>
  <c r="AC5" i="3"/>
  <c r="C3" i="2"/>
  <c r="AN3" i="3"/>
  <c r="AA39" i="3"/>
  <c r="AF4" i="3"/>
  <c r="G3" i="2"/>
  <c r="AB139" i="9"/>
  <c r="X139" i="9"/>
  <c r="AC139" i="9" s="1"/>
  <c r="U135" i="9"/>
  <c r="P135" i="9"/>
  <c r="AF135" i="9"/>
  <c r="Z135" i="9"/>
  <c r="AG135" i="9" s="1"/>
  <c r="Z20" i="3"/>
  <c r="AD20" i="3"/>
  <c r="Z30" i="3"/>
  <c r="AD30" i="3"/>
  <c r="Y27" i="3"/>
  <c r="AC27" i="3"/>
  <c r="AE25" i="3"/>
  <c r="AR9" i="3"/>
  <c r="AU9" i="3"/>
  <c r="AA17" i="3"/>
  <c r="AE17" i="3"/>
  <c r="V14" i="3"/>
  <c r="V25" i="3"/>
  <c r="X25" i="3" s="1"/>
  <c r="U42" i="3"/>
  <c r="Y42" i="3" s="1"/>
  <c r="Y9" i="3"/>
  <c r="AC9" i="3"/>
  <c r="AR17" i="3"/>
  <c r="Y28" i="3"/>
  <c r="AC28" i="3"/>
  <c r="S14" i="3"/>
  <c r="AA14" i="3" s="1"/>
  <c r="S25" i="3"/>
  <c r="AA25" i="3" s="1"/>
  <c r="AC15" i="3"/>
  <c r="X15" i="3"/>
  <c r="Y15" i="3"/>
  <c r="Y18" i="3"/>
  <c r="X18" i="3"/>
  <c r="AC18" i="3"/>
  <c r="V3" i="1"/>
  <c r="T3" i="1"/>
  <c r="P5" i="1"/>
  <c r="P6" i="1" s="1"/>
  <c r="AE10" i="3"/>
  <c r="Z16" i="3"/>
  <c r="AD16" i="3"/>
  <c r="AV8" i="3"/>
  <c r="AS8" i="3"/>
  <c r="AB37" i="3"/>
  <c r="H3" i="2"/>
  <c r="AU7" i="3"/>
  <c r="Y89" i="9"/>
  <c r="AE89" i="9" s="1"/>
  <c r="AD89" i="9"/>
  <c r="AB109" i="9"/>
  <c r="X109" i="9"/>
  <c r="AC109" i="9" s="1"/>
  <c r="Z115" i="9"/>
  <c r="AG115" i="9" s="1"/>
  <c r="AF115" i="9"/>
  <c r="X90" i="9"/>
  <c r="AC90" i="9" s="1"/>
  <c r="AB90" i="9"/>
  <c r="AB136" i="9"/>
  <c r="X136" i="9"/>
  <c r="AC136" i="9" s="1"/>
  <c r="AF87" i="9"/>
  <c r="Z87" i="9"/>
  <c r="AG87" i="9" s="1"/>
  <c r="AO20" i="3"/>
  <c r="AP10" i="3"/>
  <c r="AD19" i="3"/>
  <c r="Z19" i="3"/>
  <c r="AN19" i="3"/>
  <c r="AA28" i="3"/>
  <c r="AE28" i="3"/>
  <c r="AT21" i="3"/>
  <c r="AQ21" i="3"/>
  <c r="W40" i="3"/>
  <c r="AA40" i="3" s="1"/>
  <c r="AE7" i="3"/>
  <c r="AA7" i="3"/>
  <c r="AK3" i="3"/>
  <c r="AI3" i="3"/>
  <c r="Q3" i="3"/>
  <c r="Q36" i="3" s="1"/>
  <c r="AQ7" i="3"/>
  <c r="AT7" i="3"/>
  <c r="X38" i="3"/>
  <c r="AB38" i="3" s="1"/>
  <c r="AB5" i="3"/>
  <c r="AF5" i="3"/>
  <c r="R14" i="3"/>
  <c r="R25" i="3"/>
  <c r="X21" i="3"/>
  <c r="AF26" i="3"/>
  <c r="AB26" i="3"/>
  <c r="AQ18" i="3"/>
  <c r="AT18" i="3"/>
  <c r="V38" i="3"/>
  <c r="Z38" i="3" s="1"/>
  <c r="AD38" i="3" s="1"/>
  <c r="Z5" i="3"/>
  <c r="AD5" i="3"/>
  <c r="AO3" i="3"/>
  <c r="AD27" i="3"/>
  <c r="Z27" i="3"/>
  <c r="V36" i="3"/>
  <c r="Z36" i="3" s="1"/>
  <c r="AD3" i="3"/>
  <c r="Z3" i="3"/>
  <c r="AL6" i="3"/>
  <c r="AR6" i="3" s="1"/>
  <c r="AE16" i="3"/>
  <c r="Y138" i="9"/>
  <c r="AE138" i="9" s="1"/>
  <c r="AD138" i="9"/>
  <c r="Z136" i="9"/>
  <c r="AG136" i="9" s="1"/>
  <c r="AF136" i="9"/>
  <c r="Z89" i="9"/>
  <c r="AG89" i="9" s="1"/>
  <c r="AF89" i="9"/>
  <c r="AK20" i="3"/>
  <c r="AT20" i="3" s="1"/>
  <c r="X43" i="3"/>
  <c r="AB43" i="3" s="1"/>
  <c r="AB10" i="3"/>
  <c r="AF10" i="3"/>
  <c r="AO19" i="3"/>
  <c r="AP17" i="3"/>
  <c r="AJ14" i="3"/>
  <c r="AX16" i="3" s="1"/>
  <c r="AA20" i="3"/>
  <c r="AE20" i="3"/>
  <c r="AK16" i="3"/>
  <c r="AQ16" i="3" s="1"/>
  <c r="X138" i="9"/>
  <c r="AC138" i="9" s="1"/>
  <c r="AB138" i="9"/>
  <c r="X20" i="3"/>
  <c r="V40" i="3"/>
  <c r="Z40" i="3" s="1"/>
  <c r="Z7" i="3"/>
  <c r="AD7" i="3"/>
  <c r="U40" i="3"/>
  <c r="Y40" i="3" s="1"/>
  <c r="Y7" i="3"/>
  <c r="AC7" i="3"/>
  <c r="AP16" i="3"/>
  <c r="AM18" i="3"/>
  <c r="Y6" i="3"/>
  <c r="F6" i="1"/>
  <c r="G6" i="1" s="1"/>
  <c r="G3" i="1" s="1"/>
  <c r="G4" i="1" s="1"/>
  <c r="AB7" i="3"/>
  <c r="AO4" i="3"/>
  <c r="Y114" i="9"/>
  <c r="AE114" i="9" s="1"/>
  <c r="AD114" i="9"/>
  <c r="Y110" i="9"/>
  <c r="AE110" i="9" s="1"/>
  <c r="AD110" i="9"/>
  <c r="Y115" i="9"/>
  <c r="AE115" i="9" s="1"/>
  <c r="AD115" i="9"/>
  <c r="AM20" i="3"/>
  <c r="AF114" i="9"/>
  <c r="Z114" i="9"/>
  <c r="AG114" i="9" s="1"/>
  <c r="AL20" i="3"/>
  <c r="X114" i="9"/>
  <c r="AC114" i="9" s="1"/>
  <c r="AB114" i="9"/>
  <c r="AB9" i="3"/>
  <c r="AF9" i="3"/>
  <c r="X42" i="3"/>
  <c r="AB42" i="3" s="1"/>
  <c r="AA9" i="3"/>
  <c r="AE9" i="3"/>
  <c r="W42" i="3"/>
  <c r="AA42" i="3" s="1"/>
  <c r="Y31" i="3"/>
  <c r="AC31" i="3"/>
  <c r="AC16" i="3"/>
  <c r="Y16" i="3"/>
  <c r="X16" i="3"/>
  <c r="X14" i="3"/>
  <c r="Y17" i="3"/>
  <c r="X17" i="3"/>
  <c r="AC17" i="3"/>
  <c r="AL16" i="3"/>
  <c r="T27" i="3"/>
  <c r="AF27" i="3" s="1"/>
  <c r="Y20" i="3"/>
  <c r="AA29" i="3"/>
  <c r="AE29" i="3"/>
  <c r="Q25" i="3"/>
  <c r="T25" i="3" s="1"/>
  <c r="Z29" i="3"/>
  <c r="AD29" i="3"/>
  <c r="W38" i="3"/>
  <c r="AA38" i="3" s="1"/>
  <c r="AE38" i="3" s="1"/>
  <c r="AA5" i="3"/>
  <c r="AE5" i="3"/>
  <c r="X140" i="9"/>
  <c r="AC140" i="9" s="1"/>
  <c r="AB140" i="9"/>
  <c r="X41" i="3"/>
  <c r="AB41" i="3" s="1"/>
  <c r="AD41" i="3" s="1"/>
  <c r="AB8" i="3"/>
  <c r="AF8" i="3"/>
  <c r="AA27" i="3"/>
  <c r="AE27" i="3"/>
  <c r="I3" i="2"/>
  <c r="W41" i="3"/>
  <c r="AA41" i="3" s="1"/>
  <c r="AE8" i="3"/>
  <c r="AA8" i="3"/>
  <c r="AP6" i="3"/>
  <c r="AC6" i="3"/>
  <c r="AC41" i="3"/>
  <c r="AF7" i="3"/>
  <c r="AV7" i="3"/>
  <c r="AS7" i="3"/>
  <c r="AK6" i="3"/>
  <c r="W36" i="3"/>
  <c r="AA36" i="3" s="1"/>
  <c r="AA3" i="3"/>
  <c r="AE3" i="3"/>
  <c r="X112" i="9"/>
  <c r="AC112" i="9" s="1"/>
  <c r="AB112" i="9"/>
  <c r="X110" i="9"/>
  <c r="AC110" i="9" s="1"/>
  <c r="AB110" i="9"/>
  <c r="Z111" i="9"/>
  <c r="AG111" i="9" s="1"/>
  <c r="AF111" i="9"/>
  <c r="Z108" i="9"/>
  <c r="AG108" i="9" s="1"/>
  <c r="AF108" i="9"/>
  <c r="AD10" i="3"/>
  <c r="V43" i="3"/>
  <c r="Z43" i="3" s="1"/>
  <c r="AD43" i="3" s="1"/>
  <c r="Z10" i="3"/>
  <c r="AC19" i="3"/>
  <c r="X19" i="3"/>
  <c r="Y19" i="3"/>
  <c r="AB32" i="3"/>
  <c r="AS21" i="3"/>
  <c r="AV21" i="3"/>
  <c r="T18" i="3"/>
  <c r="AC14" i="3"/>
  <c r="Y14" i="3"/>
  <c r="AU21" i="3"/>
  <c r="AR21" i="3"/>
  <c r="AU8" i="3"/>
  <c r="AR8" i="3"/>
  <c r="V37" i="3"/>
  <c r="Z37" i="3" s="1"/>
  <c r="AD4" i="3"/>
  <c r="Z4" i="3"/>
  <c r="AC20" i="3"/>
  <c r="AE18" i="3"/>
  <c r="AA18" i="3"/>
  <c r="U37" i="3"/>
  <c r="Y37" i="3" s="1"/>
  <c r="Y4" i="3"/>
  <c r="AC4" i="3"/>
  <c r="AO16" i="3"/>
  <c r="AD18" i="3"/>
  <c r="Z18" i="3"/>
  <c r="AP19" i="3"/>
  <c r="AB6" i="3"/>
  <c r="X39" i="3"/>
  <c r="AB39" i="3" s="1"/>
  <c r="AF6" i="3"/>
  <c r="Y39" i="3"/>
  <c r="AC39" i="3" s="1"/>
  <c r="Q13" i="1"/>
  <c r="AB40" i="3"/>
  <c r="AN6" i="3"/>
  <c r="AN4" i="3"/>
  <c r="X36" i="3"/>
  <c r="X94" i="9"/>
  <c r="AC94" i="9" s="1"/>
  <c r="AB94" i="9"/>
  <c r="Y141" i="9"/>
  <c r="AE141" i="9" s="1"/>
  <c r="AD141" i="9"/>
  <c r="AB93" i="9"/>
  <c r="X93" i="9"/>
  <c r="AC93" i="9" s="1"/>
  <c r="AC10" i="3"/>
  <c r="U43" i="3"/>
  <c r="Y43" i="3" s="1"/>
  <c r="AC43" i="3" s="1"/>
  <c r="Y10" i="3"/>
  <c r="AB31" i="3"/>
  <c r="AF31" i="3"/>
  <c r="Y136" i="9"/>
  <c r="AE136" i="9" s="1"/>
  <c r="AD136" i="9"/>
  <c r="AA32" i="3"/>
  <c r="AE32" i="3"/>
  <c r="AC32" i="3"/>
  <c r="Y32" i="3"/>
  <c r="AD31" i="3"/>
  <c r="Z31" i="3"/>
  <c r="W37" i="3"/>
  <c r="AA37" i="3" s="1"/>
  <c r="AE4" i="3"/>
  <c r="AA4" i="3"/>
  <c r="AV15" i="3"/>
  <c r="AS15" i="3"/>
  <c r="AV18" i="3"/>
  <c r="AS18" i="3"/>
  <c r="Z26" i="3"/>
  <c r="AD26" i="3"/>
  <c r="AI14" i="3"/>
  <c r="AW16" i="3" s="1"/>
  <c r="AU18" i="3"/>
  <c r="AR18" i="3"/>
  <c r="T21" i="3"/>
  <c r="AC21" i="3"/>
  <c r="T17" i="3"/>
  <c r="K7" i="4"/>
  <c r="K8" i="4" s="1"/>
  <c r="J7" i="4"/>
  <c r="F7" i="4"/>
  <c r="F8" i="4" s="1"/>
  <c r="B7" i="4"/>
  <c r="N7" i="4"/>
  <c r="N8" i="4" s="1"/>
  <c r="C7" i="4"/>
  <c r="C8" i="4" s="1"/>
  <c r="AE19" i="3"/>
  <c r="AA19" i="3"/>
  <c r="AA6" i="3"/>
  <c r="AL5" i="3"/>
  <c r="AK5" i="3"/>
  <c r="T3" i="3"/>
  <c r="T36" i="3" s="1"/>
  <c r="Y94" i="9"/>
  <c r="AE94" i="9" s="1"/>
  <c r="AD94" i="9"/>
  <c r="X87" i="9"/>
  <c r="AC87" i="9" s="1"/>
  <c r="AB87" i="9"/>
  <c r="Z141" i="9"/>
  <c r="AG141" i="9" s="1"/>
  <c r="AF141" i="9"/>
  <c r="Z93" i="9"/>
  <c r="AG93" i="9" s="1"/>
  <c r="AF93" i="9"/>
  <c r="Y108" i="9"/>
  <c r="AE108" i="9" s="1"/>
  <c r="AD108" i="9"/>
  <c r="Y90" i="9"/>
  <c r="AE90" i="9" s="1"/>
  <c r="AD90" i="9"/>
  <c r="R42" i="3"/>
  <c r="AD9" i="3"/>
  <c r="AA21" i="3"/>
  <c r="AE21" i="3"/>
  <c r="Y30" i="3"/>
  <c r="AC30" i="3"/>
  <c r="Z9" i="3"/>
  <c r="T29" i="3"/>
  <c r="AF29" i="3" s="1"/>
  <c r="O4" i="3"/>
  <c r="P3" i="3"/>
  <c r="AP20" i="3"/>
  <c r="Z17" i="3"/>
  <c r="AD17" i="3"/>
  <c r="AE15" i="3"/>
  <c r="AA15" i="3"/>
  <c r="Q10" i="1"/>
  <c r="N4" i="1"/>
  <c r="P11" i="1"/>
  <c r="M7" i="1"/>
  <c r="Q15" i="1" s="1"/>
  <c r="AT8" i="3"/>
  <c r="AQ8" i="3"/>
  <c r="AD15" i="3"/>
  <c r="Z15" i="3"/>
  <c r="L7" i="4"/>
  <c r="L8" i="4" s="1"/>
  <c r="AW21" i="3"/>
  <c r="AW17" i="3"/>
  <c r="O10" i="1"/>
  <c r="N11" i="1"/>
  <c r="K7" i="1"/>
  <c r="AA10" i="3"/>
  <c r="AE30" i="3"/>
  <c r="AA30" i="3"/>
  <c r="AE6" i="3"/>
  <c r="AB4" i="3"/>
  <c r="S3" i="1"/>
  <c r="AX17" i="3" l="1"/>
  <c r="AF30" i="3"/>
  <c r="AX18" i="3"/>
  <c r="AC37" i="3"/>
  <c r="AB27" i="3"/>
  <c r="AE40" i="3"/>
  <c r="AQ10" i="3"/>
  <c r="AC25" i="3"/>
  <c r="AQ20" i="3"/>
  <c r="AX15" i="3"/>
  <c r="AE37" i="3"/>
  <c r="AE42" i="3"/>
  <c r="T14" i="3"/>
  <c r="AU6" i="3"/>
  <c r="AD37" i="3"/>
  <c r="AF25" i="3"/>
  <c r="AB25" i="3"/>
  <c r="AF17" i="3"/>
  <c r="AB17" i="3"/>
  <c r="AU19" i="3"/>
  <c r="AR19" i="3"/>
  <c r="X135" i="9"/>
  <c r="AC135" i="9" s="1"/>
  <c r="AB135" i="9"/>
  <c r="O3" i="3"/>
  <c r="AY15" i="3" s="1"/>
  <c r="R7" i="4"/>
  <c r="J8" i="4"/>
  <c r="R8" i="4" s="1"/>
  <c r="AC40" i="3"/>
  <c r="AB15" i="3"/>
  <c r="AF15" i="3"/>
  <c r="AD39" i="3"/>
  <c r="AF3" i="3"/>
  <c r="AD135" i="9"/>
  <c r="Y135" i="9"/>
  <c r="AE135" i="9" s="1"/>
  <c r="N7" i="1"/>
  <c r="O7" i="1" s="1"/>
  <c r="O15" i="1"/>
  <c r="O8" i="1"/>
  <c r="P8" i="1" s="1"/>
  <c r="AB3" i="3"/>
  <c r="AF28" i="3"/>
  <c r="AE41" i="3"/>
  <c r="Y25" i="3"/>
  <c r="AF21" i="3"/>
  <c r="AB21" i="3"/>
  <c r="AV10" i="3"/>
  <c r="AS10" i="3"/>
  <c r="T7" i="1"/>
  <c r="T5" i="1"/>
  <c r="AE14" i="3"/>
  <c r="AW18" i="3"/>
  <c r="AB36" i="3"/>
  <c r="AE36" i="3" s="1"/>
  <c r="AS16" i="3"/>
  <c r="AV16" i="3"/>
  <c r="AN14" i="3"/>
  <c r="AX21" i="3"/>
  <c r="AP14" i="3"/>
  <c r="AU20" i="3"/>
  <c r="AR20" i="3"/>
  <c r="AC42" i="3"/>
  <c r="AX19" i="3"/>
  <c r="AC38" i="3"/>
  <c r="Y3" i="3"/>
  <c r="AB19" i="3"/>
  <c r="AF19" i="3"/>
  <c r="S7" i="1"/>
  <c r="S5" i="1"/>
  <c r="R10" i="1"/>
  <c r="AQ4" i="3"/>
  <c r="AT4" i="3"/>
  <c r="AV19" i="3"/>
  <c r="AS19" i="3"/>
  <c r="AB14" i="3"/>
  <c r="AF14" i="3"/>
  <c r="AB29" i="3"/>
  <c r="AD40" i="3"/>
  <c r="AS17" i="3"/>
  <c r="AV17" i="3"/>
  <c r="AL3" i="3"/>
  <c r="AU3" i="3" s="1"/>
  <c r="AM3" i="3"/>
  <c r="AX20" i="3"/>
  <c r="AM14" i="3"/>
  <c r="AO14" i="3"/>
  <c r="AE43" i="3"/>
  <c r="AC3" i="3"/>
  <c r="AW20" i="3"/>
  <c r="AU4" i="3"/>
  <c r="AR4" i="3"/>
  <c r="AT6" i="3"/>
  <c r="AQ6" i="3"/>
  <c r="AB16" i="3"/>
  <c r="AF16" i="3"/>
  <c r="AB20" i="3"/>
  <c r="AF20" i="3"/>
  <c r="AL14" i="3"/>
  <c r="AF18" i="3"/>
  <c r="AB18" i="3"/>
  <c r="AD25" i="3"/>
  <c r="Z25" i="3"/>
  <c r="AC36" i="3"/>
  <c r="AS20" i="3"/>
  <c r="AV20" i="3"/>
  <c r="AT5" i="3"/>
  <c r="AQ5" i="3"/>
  <c r="B8" i="4"/>
  <c r="I8" i="4" s="1"/>
  <c r="I7" i="4"/>
  <c r="A7" i="4" s="1"/>
  <c r="AT19" i="3"/>
  <c r="AQ19" i="3"/>
  <c r="AD14" i="3"/>
  <c r="Z14" i="3"/>
  <c r="AE39" i="3"/>
  <c r="AR5" i="3"/>
  <c r="AU5" i="3"/>
  <c r="AW15" i="3"/>
  <c r="AK14" i="3"/>
  <c r="AW19" i="3"/>
  <c r="AU16" i="3"/>
  <c r="AR16" i="3"/>
  <c r="AV6" i="3"/>
  <c r="AS6" i="3"/>
  <c r="AT3" i="3"/>
  <c r="AQ3" i="3"/>
  <c r="AD36" i="3" l="1"/>
  <c r="AU14" i="3"/>
  <c r="AR14" i="3"/>
  <c r="AR3" i="3"/>
  <c r="AV14" i="3"/>
  <c r="AS14" i="3"/>
  <c r="AV3" i="3"/>
  <c r="AS3" i="3"/>
  <c r="AY20" i="3"/>
  <c r="AY16" i="3"/>
  <c r="AY17" i="3"/>
  <c r="AY19" i="3"/>
  <c r="AY21" i="3"/>
  <c r="AY18" i="3"/>
  <c r="AT14" i="3"/>
  <c r="AQ14" i="3"/>
</calcChain>
</file>

<file path=xl/sharedStrings.xml><?xml version="1.0" encoding="utf-8"?>
<sst xmlns="http://schemas.openxmlformats.org/spreadsheetml/2006/main" count="3707" uniqueCount="105">
  <si>
    <t>Staro broj klijenata</t>
  </si>
  <si>
    <t>Staro broj paleta</t>
  </si>
  <si>
    <t>Novo broj klijenata</t>
  </si>
  <si>
    <t>Novo broj paleta</t>
  </si>
  <si>
    <t>Jutro</t>
  </si>
  <si>
    <t>Podne</t>
  </si>
  <si>
    <t>veče</t>
  </si>
  <si>
    <t>kli</t>
  </si>
  <si>
    <t>pll</t>
  </si>
  <si>
    <t>manje kli</t>
  </si>
  <si>
    <t>manje pll</t>
  </si>
  <si>
    <t>psj/kli</t>
  </si>
  <si>
    <t>pll/kli</t>
  </si>
  <si>
    <t>%</t>
  </si>
  <si>
    <t>novo</t>
  </si>
  <si>
    <t>Klijenata</t>
  </si>
  <si>
    <t>Jed. Robe</t>
  </si>
  <si>
    <t>u broju</t>
  </si>
  <si>
    <t>u procentu</t>
  </si>
  <si>
    <t>br posjeta/klijentu</t>
  </si>
  <si>
    <t>br jed/klijentu</t>
  </si>
  <si>
    <t xml:space="preserve">staro </t>
  </si>
  <si>
    <t>Ukupno generisano klijenata</t>
  </si>
  <si>
    <t>Klijenata prešlo na nove šeme</t>
  </si>
  <si>
    <t>sa manjim brojm paleta</t>
  </si>
  <si>
    <t>Sa istim brojem paleta</t>
  </si>
  <si>
    <t>Zadržali staru šemu</t>
  </si>
  <si>
    <t>Smanjili broj posjeta</t>
  </si>
  <si>
    <t>Smanjili br posjeta pri manjem br pll</t>
  </si>
  <si>
    <t>Smanjili br posjeta pri istom br pll</t>
  </si>
  <si>
    <t>Posjeta staro</t>
  </si>
  <si>
    <t>Posjeta novo</t>
  </si>
  <si>
    <t>Paleta staro</t>
  </si>
  <si>
    <t>Paleta novo</t>
  </si>
  <si>
    <t>Posjeta po klijentu staro</t>
  </si>
  <si>
    <t>Posjeta po klijentu novo</t>
  </si>
  <si>
    <t xml:space="preserve">Procentulano </t>
  </si>
  <si>
    <t>Razlika</t>
  </si>
  <si>
    <t>Raspod. pos. po per.</t>
  </si>
  <si>
    <t>Novo</t>
  </si>
  <si>
    <t>Procentualno</t>
  </si>
  <si>
    <t>AE3-kod 36.4 posto klijenata  ce se broj posjeta u trecem periodu smanjiti. A kada se gleda od onog brojs klijensata koji je imao neku isporuku u periodu (83% njih). Kod 43% njih ce doci do smanjenja</t>
  </si>
  <si>
    <t>br. gen</t>
  </si>
  <si>
    <t>br.pos</t>
  </si>
  <si>
    <t>broj posjeta po periodu po novom se mijenja za toliko, njihov odnos po novom se mijenja za toliko. I onda sumarno promjene za 2</t>
  </si>
  <si>
    <t>I onda sumarno za cijeli dan promjene u br posjeta I pll</t>
  </si>
  <si>
    <t>projektovano I realizovano</t>
  </si>
  <si>
    <t>Pll po klijentu staro</t>
  </si>
  <si>
    <t>Pll po klijentu novo</t>
  </si>
  <si>
    <t>Procentulano</t>
  </si>
  <si>
    <t>Raspod. pll. po per.</t>
  </si>
  <si>
    <t>Promjene</t>
  </si>
  <si>
    <t>sum</t>
  </si>
  <si>
    <t>staro</t>
  </si>
  <si>
    <t>Pll po posjeti staro</t>
  </si>
  <si>
    <t>Pll po posjeti novo</t>
  </si>
  <si>
    <t>Proba Odnos u posjetama</t>
  </si>
  <si>
    <t>od 0.4 pojsketa smanjenje 24%otpada na smanjenje u prvom periodu</t>
  </si>
  <si>
    <t>Broj klijenata po tipu. Ukupna broj ostaje isti, samo se mijenja broj po tipu,  a time i njihova raspoedjela</t>
  </si>
  <si>
    <t>suma</t>
  </si>
  <si>
    <t>Staro jed. robe</t>
  </si>
  <si>
    <t>tip klijenta</t>
  </si>
  <si>
    <t>period</t>
  </si>
  <si>
    <t>Prosječan br</t>
  </si>
  <si>
    <t>prosjek (broj)</t>
  </si>
  <si>
    <t>učešće u 70</t>
  </si>
  <si>
    <t>raspodjela(%)</t>
  </si>
  <si>
    <t>prvi test</t>
  </si>
  <si>
    <t>drugi test</t>
  </si>
  <si>
    <t>treći test</t>
  </si>
  <si>
    <t>klijenti sa promjenom u broj posjeta (%)</t>
  </si>
  <si>
    <t>sa manjim brojem jed. robe (%)</t>
  </si>
  <si>
    <t>sa istim brojem jed. Robe</t>
  </si>
  <si>
    <t>zadržali isto stanje</t>
  </si>
  <si>
    <t>Tip klijenta</t>
  </si>
  <si>
    <t>broj tog tipa</t>
  </si>
  <si>
    <t>kod kojih se smanjio broj posjeta</t>
  </si>
  <si>
    <t>zadržali istu šemu posjeta</t>
  </si>
  <si>
    <t>ukupno</t>
  </si>
  <si>
    <t>sa manjim br pll</t>
  </si>
  <si>
    <t>sa istim br pll</t>
  </si>
  <si>
    <t>Ovdje se moze dobiti koliko procenata se smanjuje broj posjeta po tipu.</t>
  </si>
  <si>
    <t>Period 1</t>
  </si>
  <si>
    <t>Period 2</t>
  </si>
  <si>
    <t>Period 3</t>
  </si>
  <si>
    <t>Ukupno</t>
  </si>
  <si>
    <t>Tip</t>
  </si>
  <si>
    <t>abs</t>
  </si>
  <si>
    <t>Udio po periodima</t>
  </si>
  <si>
    <t>Raspodjela broja posjeta po periodima</t>
  </si>
  <si>
    <t>Prelaze na novu semu</t>
  </si>
  <si>
    <t>Sa manjim br pll</t>
  </si>
  <si>
    <t>Sa istim br pll</t>
  </si>
  <si>
    <t>Smanjili br posjeta</t>
  </si>
  <si>
    <t>Pri manjem br pll</t>
  </si>
  <si>
    <t>Pri istom br pll</t>
  </si>
  <si>
    <t>Razlika apsolutno</t>
  </si>
  <si>
    <t>sumarno</t>
  </si>
  <si>
    <t>Posjeta po klijentu po tipu i periodu</t>
  </si>
  <si>
    <t>Paleta po klijentu po tipu i periodu</t>
  </si>
  <si>
    <t>očekivanje</t>
  </si>
  <si>
    <t>Raspodjela paleta po klijentu po periodima</t>
  </si>
  <si>
    <t>Raspodjela klijenata po broju posjeta i paleta</t>
  </si>
  <si>
    <t>Paleta po posjeti</t>
  </si>
  <si>
    <t>Raspodjela paleta po posjeti po periodu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</si>
</sst>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2" xfId="0" applyBorder="1"/>
    <xf numFmtId="164" fontId="1" fillId="0" borderId="1" xfId="0" applyNumberFormat="1" applyFont="1" applyBorder="1"/>
    <xf numFmtId="164" fontId="1" fillId="0" borderId="2" xfId="0" applyNumberFormat="1" applyFont="1" applyBorder="1"/>
    <xf numFmtId="0" fontId="0" fillId="0" borderId="3" xfId="0" applyBorder="1"/>
    <xf numFmtId="0" fontId="1" fillId="0" borderId="0" xfId="0" applyFont="1"/>
    <xf numFmtId="2" fontId="1" fillId="0" borderId="3" xfId="0" applyNumberFormat="1" applyFont="1" applyBorder="1"/>
    <xf numFmtId="0" fontId="0" fillId="0" borderId="4" xfId="0" applyBorder="1"/>
    <xf numFmtId="0" fontId="0" fillId="0" borderId="7" xfId="0" applyBorder="1"/>
    <xf numFmtId="164" fontId="0" fillId="0" borderId="6" xfId="0" applyNumberFormat="1" applyBorder="1"/>
    <xf numFmtId="2" fontId="0" fillId="0" borderId="1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1" fillId="0" borderId="0" xfId="0" applyNumberFormat="1" applyFont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3" fontId="0" fillId="0" borderId="0" xfId="0" applyNumberFormat="1"/>
    <xf numFmtId="165" fontId="0" fillId="0" borderId="0" xfId="0" applyNumberFormat="1"/>
    <xf numFmtId="166" fontId="1" fillId="0" borderId="0" xfId="0" applyNumberFormat="1" applyFont="1"/>
    <xf numFmtId="166" fontId="1" fillId="0" borderId="2" xfId="0" applyNumberFormat="1" applyFont="1" applyBorder="1"/>
    <xf numFmtId="166" fontId="0" fillId="0" borderId="0" xfId="0" applyNumberFormat="1"/>
    <xf numFmtId="1" fontId="0" fillId="0" borderId="1" xfId="0" applyNumberFormat="1" applyBorder="1"/>
    <xf numFmtId="1" fontId="0" fillId="0" borderId="4" xfId="0" applyNumberFormat="1" applyBorder="1"/>
    <xf numFmtId="2" fontId="0" fillId="0" borderId="3" xfId="0" applyNumberFormat="1" applyBorder="1"/>
    <xf numFmtId="1" fontId="0" fillId="0" borderId="5" xfId="0" applyNumberFormat="1" applyBorder="1"/>
    <xf numFmtId="164" fontId="0" fillId="0" borderId="1" xfId="0" applyNumberFormat="1" applyBorder="1"/>
    <xf numFmtId="0" fontId="0" fillId="0" borderId="0" xfId="0" applyAlignment="1">
      <alignment horizontal="center" vertical="center"/>
    </xf>
    <xf numFmtId="1" fontId="0" fillId="0" borderId="0" xfId="0" applyNumberFormat="1"/>
    <xf numFmtId="1" fontId="0" fillId="0" borderId="3" xfId="0" applyNumberFormat="1" applyBorder="1"/>
    <xf numFmtId="164" fontId="0" fillId="0" borderId="7" xfId="0" applyNumberFormat="1" applyBorder="1"/>
    <xf numFmtId="2" fontId="0" fillId="0" borderId="6" xfId="0" applyNumberFormat="1" applyBorder="1"/>
    <xf numFmtId="2" fontId="0" fillId="0" borderId="4" xfId="0" applyNumberFormat="1" applyBorder="1"/>
    <xf numFmtId="2" fontId="0" fillId="0" borderId="7" xfId="0" applyNumberFormat="1" applyBorder="1"/>
    <xf numFmtId="0" fontId="0" fillId="0" borderId="6" xfId="0" applyBorder="1"/>
    <xf numFmtId="2" fontId="0" fillId="0" borderId="8" xfId="0" applyNumberFormat="1" applyBorder="1"/>
    <xf numFmtId="2" fontId="1" fillId="0" borderId="0" xfId="0" applyNumberFormat="1" applyFont="1"/>
    <xf numFmtId="0" fontId="0" fillId="0" borderId="5" xfId="0" applyBorder="1"/>
    <xf numFmtId="2" fontId="0" fillId="0" borderId="5" xfId="0" applyNumberForma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horizontal="right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2" fontId="0" fillId="2" borderId="5" xfId="0" applyNumberFormat="1" applyFill="1" applyBorder="1"/>
    <xf numFmtId="2" fontId="0" fillId="0" borderId="9" xfId="0" applyNumberFormat="1" applyBorder="1"/>
    <xf numFmtId="166" fontId="0" fillId="0" borderId="4" xfId="0" applyNumberFormat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2" fontId="0" fillId="0" borderId="0" xfId="0" applyNumberFormat="1" applyAlignment="1">
      <alignment horizontal="left"/>
    </xf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2" fontId="0" fillId="0" borderId="0" xfId="0" applyNumberFormat="1"/>
    <xf numFmtId="0" fontId="0" fillId="0" borderId="0" xfId="0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0"/>
  <sheetViews>
    <sheetView topLeftCell="A25" workbookViewId="0">
      <selection activeCell="A38" sqref="A38:XFD38"/>
    </sheetView>
  </sheetViews>
  <sheetFormatPr defaultRowHeight="14.4" x14ac:dyDescent="0.3"/>
  <cols>
    <col min="3" max="3" width="8.88671875" style="57" customWidth="1"/>
    <col min="6" max="6" width="8.88671875" style="57" customWidth="1"/>
    <col min="7" max="7" width="8.88671875" style="1" customWidth="1"/>
    <col min="10" max="10" width="8.88671875" style="57" customWidth="1"/>
    <col min="13" max="13" width="8.88671875" style="57" customWidth="1"/>
    <col min="18" max="18" width="9.109375" style="57" customWidth="1"/>
    <col min="23" max="23" width="10.44140625" style="56" customWidth="1"/>
    <col min="28" max="28" width="17.5546875" style="56" customWidth="1"/>
    <col min="29" max="29" width="13.5546875" style="56" customWidth="1"/>
  </cols>
  <sheetData>
    <row r="1" spans="1:29" x14ac:dyDescent="0.3">
      <c r="A1" s="64" t="s">
        <v>0</v>
      </c>
      <c r="B1" s="65"/>
      <c r="C1" s="66"/>
      <c r="D1" s="67" t="s">
        <v>1</v>
      </c>
      <c r="E1" s="65"/>
      <c r="F1" s="66"/>
      <c r="H1" s="67" t="s">
        <v>2</v>
      </c>
      <c r="I1" s="65"/>
      <c r="J1" s="66"/>
      <c r="K1" s="67" t="s">
        <v>3</v>
      </c>
      <c r="L1" s="65"/>
      <c r="M1" s="66"/>
    </row>
    <row r="2" spans="1:29" x14ac:dyDescent="0.3">
      <c r="A2" t="s">
        <v>4</v>
      </c>
      <c r="B2" t="s">
        <v>5</v>
      </c>
      <c r="C2" s="57" t="s">
        <v>6</v>
      </c>
      <c r="D2" t="s">
        <v>4</v>
      </c>
      <c r="E2" t="s">
        <v>5</v>
      </c>
      <c r="F2" s="57" t="s">
        <v>6</v>
      </c>
      <c r="H2" t="s">
        <v>4</v>
      </c>
      <c r="I2" t="s">
        <v>5</v>
      </c>
      <c r="J2" s="57" t="s">
        <v>6</v>
      </c>
      <c r="K2" t="s">
        <v>4</v>
      </c>
      <c r="L2" t="s">
        <v>5</v>
      </c>
      <c r="M2" s="57" t="s">
        <v>6</v>
      </c>
      <c r="Q2" t="s">
        <v>7</v>
      </c>
      <c r="R2" s="57" t="s">
        <v>8</v>
      </c>
      <c r="S2" t="s">
        <v>9</v>
      </c>
      <c r="T2" t="s">
        <v>10</v>
      </c>
    </row>
    <row r="3" spans="1:29" s="63" customFormat="1" x14ac:dyDescent="0.3">
      <c r="A3" s="13">
        <f>SUM(A8:A47)</f>
        <v>1899</v>
      </c>
      <c r="B3" s="13">
        <f>SUM(B8:B57)</f>
        <v>1934</v>
      </c>
      <c r="C3" s="2">
        <f>SUM(C8:C57)</f>
        <v>1922</v>
      </c>
      <c r="D3" s="13">
        <f>SUM(D8:D57)</f>
        <v>2561</v>
      </c>
      <c r="E3" s="13">
        <f>SUM(E8:E57)</f>
        <v>2634</v>
      </c>
      <c r="F3" s="2">
        <f>SUM(F8:F57)</f>
        <v>2637</v>
      </c>
      <c r="G3" s="3">
        <f>SUM(G5:G7)/COUNT(G5:G7)</f>
        <v>1.3020134700120187</v>
      </c>
      <c r="H3" s="13">
        <f t="shared" ref="H3:M3" si="0">SUM(H8:H57)</f>
        <v>1686</v>
      </c>
      <c r="I3" s="13">
        <f t="shared" si="0"/>
        <v>1708</v>
      </c>
      <c r="J3" s="2">
        <f t="shared" si="0"/>
        <v>1696</v>
      </c>
      <c r="K3" s="13">
        <f t="shared" si="0"/>
        <v>2573</v>
      </c>
      <c r="L3" s="13">
        <f t="shared" si="0"/>
        <v>2624</v>
      </c>
      <c r="M3" s="13">
        <f t="shared" si="0"/>
        <v>2635</v>
      </c>
      <c r="O3" s="13">
        <f>SUM(A3:C3)</f>
        <v>5755</v>
      </c>
      <c r="P3" s="63">
        <f>SUM(D3:F3)</f>
        <v>7832</v>
      </c>
      <c r="Q3" s="13">
        <f>SUM(H3:J3)</f>
        <v>5090</v>
      </c>
      <c r="R3" s="25">
        <f>SUM(K3:M3)</f>
        <v>7832</v>
      </c>
      <c r="S3" s="63">
        <f>O3-Q3</f>
        <v>665</v>
      </c>
      <c r="T3" s="63">
        <f>P3-R3</f>
        <v>0</v>
      </c>
      <c r="V3" s="20">
        <f>(P3-R3)/P3</f>
        <v>0</v>
      </c>
    </row>
    <row r="4" spans="1:29" s="63" customFormat="1" x14ac:dyDescent="0.3">
      <c r="A4" s="63">
        <f t="shared" ref="A4:M4" si="1">A3/COUNT(A8:A57)</f>
        <v>63.3</v>
      </c>
      <c r="B4" s="63">
        <f t="shared" si="1"/>
        <v>64.466666666666669</v>
      </c>
      <c r="C4" s="63">
        <f t="shared" si="1"/>
        <v>64.066666666666663</v>
      </c>
      <c r="D4" s="63">
        <f t="shared" si="1"/>
        <v>85.36666666666666</v>
      </c>
      <c r="E4" s="63">
        <f t="shared" si="1"/>
        <v>87.8</v>
      </c>
      <c r="F4" s="63">
        <f t="shared" si="1"/>
        <v>87.9</v>
      </c>
      <c r="G4" s="63" t="e">
        <f t="shared" si="1"/>
        <v>#DIV/0!</v>
      </c>
      <c r="H4" s="63">
        <f t="shared" si="1"/>
        <v>56.2</v>
      </c>
      <c r="I4" s="63">
        <f t="shared" si="1"/>
        <v>56.93333333333333</v>
      </c>
      <c r="J4" s="63">
        <f t="shared" si="1"/>
        <v>56.533333333333331</v>
      </c>
      <c r="K4" s="63">
        <f t="shared" si="1"/>
        <v>85.766666666666666</v>
      </c>
      <c r="L4" s="63">
        <f t="shared" si="1"/>
        <v>87.466666666666669</v>
      </c>
      <c r="M4" s="63">
        <f t="shared" si="1"/>
        <v>87.833333333333329</v>
      </c>
      <c r="N4" s="17">
        <f>M4/J4</f>
        <v>1.5536556603773584</v>
      </c>
      <c r="Q4" t="s">
        <v>11</v>
      </c>
      <c r="R4" s="57" t="s">
        <v>12</v>
      </c>
      <c r="S4" s="63" t="s">
        <v>13</v>
      </c>
      <c r="T4" s="63" t="s">
        <v>13</v>
      </c>
    </row>
    <row r="5" spans="1:29" s="63" customFormat="1" x14ac:dyDescent="0.3">
      <c r="A5" s="13">
        <f>A3/SUM($A3:$C3)*100</f>
        <v>32.997393570807994</v>
      </c>
      <c r="B5" s="13">
        <f>B3/SUM($A3:$C3)*100</f>
        <v>33.605560382276281</v>
      </c>
      <c r="C5" s="2">
        <f>C3/SUM($A3:$C3)*100</f>
        <v>33.397046046915726</v>
      </c>
      <c r="D5" s="13">
        <f>D3/SUM($D3:$F3)*100</f>
        <v>32.699182839632279</v>
      </c>
      <c r="E5" s="13">
        <f>E3/SUM($D3:$F3)*100</f>
        <v>33.631256384065374</v>
      </c>
      <c r="F5" s="2">
        <f>F3/SUM($D3:$F3)*100</f>
        <v>33.669560776302347</v>
      </c>
      <c r="G5" s="3"/>
      <c r="H5" s="13">
        <f>H3/SUM($H3:$J3)*100</f>
        <v>33.123772102161098</v>
      </c>
      <c r="I5" s="13">
        <f>I3/SUM($H3:$J3)*100</f>
        <v>33.555992141453835</v>
      </c>
      <c r="J5" s="2">
        <f>J3/SUM($H3:$J3)*100</f>
        <v>33.320235756385067</v>
      </c>
      <c r="K5" s="13">
        <f>K3/SUM($K3:$M3)*100</f>
        <v>32.852400408580188</v>
      </c>
      <c r="L5" s="13">
        <f>L3/SUM($K3:$M3)*100</f>
        <v>33.503575076608783</v>
      </c>
      <c r="M5" s="2">
        <f>M3/SUM($K3:$M3)*100</f>
        <v>33.644024514811036</v>
      </c>
      <c r="O5" s="20">
        <f>O3/(COUNT(A8:A57)*70)</f>
        <v>2.7404761904761905</v>
      </c>
      <c r="P5" s="17">
        <f>P3/(COUNT(A8:A57)*70)</f>
        <v>3.7295238095238097</v>
      </c>
      <c r="Q5" s="20">
        <f>Q3/(COUNT(A8:A57)*70)</f>
        <v>2.4238095238095236</v>
      </c>
      <c r="R5" s="10">
        <f>R3/(COUNT(A8:A57)*70)</f>
        <v>3.7295238095238097</v>
      </c>
      <c r="S5" s="63">
        <f>S3/O3*100</f>
        <v>11.55516941789748</v>
      </c>
      <c r="T5" s="63">
        <f>T3/P3*100</f>
        <v>0</v>
      </c>
    </row>
    <row r="6" spans="1:29" s="63" customFormat="1" x14ac:dyDescent="0.3">
      <c r="A6" s="13"/>
      <c r="B6" s="13">
        <f>C3/C6</f>
        <v>83.565217391304344</v>
      </c>
      <c r="C6" s="2">
        <f>COUNT(C8:C30)</f>
        <v>23</v>
      </c>
      <c r="D6" s="18">
        <f>D3/A3</f>
        <v>1.3486045286993154</v>
      </c>
      <c r="E6" s="18">
        <f>E4/B4</f>
        <v>1.3619441571871767</v>
      </c>
      <c r="F6" s="18">
        <f>F4/C4</f>
        <v>1.3720083246618109</v>
      </c>
      <c r="G6" s="19">
        <f>(D6+E6+F6)/3</f>
        <v>1.3608523368494343</v>
      </c>
      <c r="H6" s="13"/>
      <c r="I6" s="13"/>
      <c r="J6" s="2"/>
      <c r="K6" s="35">
        <f>K3/H3</f>
        <v>1.526097271648873</v>
      </c>
      <c r="L6" s="35">
        <f>L3/I3</f>
        <v>1.5362997658079625</v>
      </c>
      <c r="M6" s="35">
        <f>M3/J3</f>
        <v>1.5536556603773586</v>
      </c>
      <c r="N6" s="20">
        <f>(K6+L6+M6)/3</f>
        <v>1.5386842326113979</v>
      </c>
      <c r="P6" s="17">
        <f>(P5-R5)/P5</f>
        <v>0</v>
      </c>
      <c r="R6" s="10"/>
    </row>
    <row r="7" spans="1:29" x14ac:dyDescent="0.3">
      <c r="C7" s="57">
        <f>C4/70</f>
        <v>0.91523809523809518</v>
      </c>
      <c r="D7">
        <f>D4/70</f>
        <v>1.2195238095238095</v>
      </c>
      <c r="E7">
        <f>E4/70</f>
        <v>1.2542857142857142</v>
      </c>
      <c r="F7">
        <f>F4/70</f>
        <v>1.2557142857142858</v>
      </c>
      <c r="G7" s="1">
        <f>(D7+E7+F7)/3</f>
        <v>1.2431746031746032</v>
      </c>
      <c r="H7">
        <f>D7+E7+F7</f>
        <v>3.7295238095238097</v>
      </c>
      <c r="J7" s="57">
        <f>J4/70</f>
        <v>0.80761904761904757</v>
      </c>
      <c r="K7">
        <f>K4/70</f>
        <v>1.2252380952380952</v>
      </c>
      <c r="L7">
        <f>L4/70</f>
        <v>1.2495238095238095</v>
      </c>
      <c r="M7">
        <f>M4/70</f>
        <v>1.2547619047619047</v>
      </c>
      <c r="N7">
        <f>K7+L7+M7</f>
        <v>3.7295238095238092</v>
      </c>
      <c r="O7">
        <f>N7/3</f>
        <v>1.2431746031746032</v>
      </c>
      <c r="S7" s="63">
        <f>S3/COUNT(A8:A57)</f>
        <v>22.166666666666668</v>
      </c>
      <c r="T7" s="63">
        <f>T3/COUNT(B8:B57)</f>
        <v>0</v>
      </c>
    </row>
    <row r="8" spans="1:29" x14ac:dyDescent="0.3">
      <c r="A8">
        <v>67</v>
      </c>
      <c r="B8">
        <v>64</v>
      </c>
      <c r="C8" s="57">
        <v>64</v>
      </c>
      <c r="D8">
        <v>90</v>
      </c>
      <c r="E8">
        <v>84</v>
      </c>
      <c r="F8" s="57">
        <v>94</v>
      </c>
      <c r="G8" s="1" t="s">
        <v>14</v>
      </c>
      <c r="H8">
        <v>53</v>
      </c>
      <c r="I8">
        <v>59</v>
      </c>
      <c r="J8" s="57">
        <v>60</v>
      </c>
      <c r="K8">
        <v>78</v>
      </c>
      <c r="L8">
        <v>95</v>
      </c>
      <c r="M8">
        <v>95</v>
      </c>
      <c r="N8">
        <f>L8/70</f>
        <v>1.3571428571428572</v>
      </c>
      <c r="O8">
        <f>K7+L7+M7</f>
        <v>3.7295238095238092</v>
      </c>
      <c r="P8">
        <f>O8/3</f>
        <v>1.2431746031746032</v>
      </c>
      <c r="W8" s="7"/>
      <c r="X8" s="4" t="s">
        <v>15</v>
      </c>
      <c r="Y8" s="4" t="s">
        <v>16</v>
      </c>
    </row>
    <row r="9" spans="1:29" x14ac:dyDescent="0.3">
      <c r="A9">
        <v>63</v>
      </c>
      <c r="B9">
        <v>62</v>
      </c>
      <c r="C9" s="57">
        <v>67</v>
      </c>
      <c r="D9">
        <v>83</v>
      </c>
      <c r="E9">
        <v>83</v>
      </c>
      <c r="F9" s="57">
        <v>90</v>
      </c>
      <c r="G9" s="1" t="s">
        <v>14</v>
      </c>
      <c r="H9">
        <v>62</v>
      </c>
      <c r="I9">
        <v>47</v>
      </c>
      <c r="J9" s="57">
        <v>58</v>
      </c>
      <c r="K9">
        <v>97</v>
      </c>
      <c r="L9">
        <v>68</v>
      </c>
      <c r="M9">
        <v>91</v>
      </c>
      <c r="N9">
        <f>L9/70</f>
        <v>0.97142857142857142</v>
      </c>
      <c r="W9" s="57" t="s">
        <v>17</v>
      </c>
      <c r="X9" s="63">
        <v>12.86245353159851</v>
      </c>
      <c r="Y9" s="63">
        <v>9.5898673100120622</v>
      </c>
    </row>
    <row r="10" spans="1:29" x14ac:dyDescent="0.3">
      <c r="A10">
        <v>63</v>
      </c>
      <c r="B10">
        <v>63</v>
      </c>
      <c r="C10" s="57">
        <v>67</v>
      </c>
      <c r="D10">
        <v>76</v>
      </c>
      <c r="E10">
        <v>84</v>
      </c>
      <c r="F10" s="57">
        <v>86</v>
      </c>
      <c r="G10" s="1" t="s">
        <v>14</v>
      </c>
      <c r="H10">
        <v>58</v>
      </c>
      <c r="I10">
        <v>53</v>
      </c>
      <c r="J10" s="57">
        <v>62</v>
      </c>
      <c r="K10">
        <v>79</v>
      </c>
      <c r="L10">
        <v>75</v>
      </c>
      <c r="M10">
        <v>92</v>
      </c>
      <c r="N10">
        <f>L10/70</f>
        <v>1.0714285714285714</v>
      </c>
      <c r="O10">
        <f>K4/H4</f>
        <v>1.526097271648873</v>
      </c>
      <c r="P10">
        <f>L4/I4</f>
        <v>1.5362997658079627</v>
      </c>
      <c r="Q10">
        <f>M4/J4</f>
        <v>1.5536556603773584</v>
      </c>
      <c r="R10" s="57">
        <f>(O10+P10+Q10)/3</f>
        <v>1.5386842326113979</v>
      </c>
      <c r="W10" s="57" t="s">
        <v>18</v>
      </c>
      <c r="X10" s="63">
        <v>24.714285714285719</v>
      </c>
      <c r="Y10" s="63">
        <v>22.714285714285719</v>
      </c>
    </row>
    <row r="11" spans="1:29" x14ac:dyDescent="0.3">
      <c r="A11">
        <v>60</v>
      </c>
      <c r="B11">
        <v>64</v>
      </c>
      <c r="C11" s="57">
        <v>65</v>
      </c>
      <c r="D11">
        <v>80</v>
      </c>
      <c r="E11">
        <v>90</v>
      </c>
      <c r="F11" s="57">
        <v>84</v>
      </c>
      <c r="G11" s="1" t="s">
        <v>14</v>
      </c>
      <c r="H11">
        <v>52</v>
      </c>
      <c r="I11">
        <v>55</v>
      </c>
      <c r="J11" s="57">
        <v>55</v>
      </c>
      <c r="K11">
        <v>79</v>
      </c>
      <c r="L11">
        <v>87</v>
      </c>
      <c r="M11">
        <v>88</v>
      </c>
      <c r="N11">
        <f>K4/H4</f>
        <v>1.526097271648873</v>
      </c>
      <c r="O11">
        <f>L4/I4</f>
        <v>1.5362997658079627</v>
      </c>
      <c r="P11">
        <f>M4/J4</f>
        <v>1.5536556603773584</v>
      </c>
      <c r="R11" s="57">
        <v>8</v>
      </c>
      <c r="AA11" s="7"/>
      <c r="AB11" s="4" t="s">
        <v>19</v>
      </c>
      <c r="AC11" s="4" t="s">
        <v>20</v>
      </c>
    </row>
    <row r="12" spans="1:29" x14ac:dyDescent="0.3">
      <c r="A12">
        <v>62</v>
      </c>
      <c r="B12">
        <v>62</v>
      </c>
      <c r="C12" s="57">
        <v>66</v>
      </c>
      <c r="D12">
        <v>87</v>
      </c>
      <c r="E12">
        <v>86</v>
      </c>
      <c r="F12" s="57">
        <v>90</v>
      </c>
      <c r="G12" s="1" t="s">
        <v>14</v>
      </c>
      <c r="H12">
        <v>56</v>
      </c>
      <c r="I12">
        <v>55</v>
      </c>
      <c r="J12" s="57">
        <v>57</v>
      </c>
      <c r="K12">
        <v>86</v>
      </c>
      <c r="L12">
        <v>88</v>
      </c>
      <c r="M12" s="57">
        <v>89</v>
      </c>
      <c r="N12">
        <f t="shared" ref="N12:N30" si="2">M12/J12</f>
        <v>1.5614035087719298</v>
      </c>
      <c r="W12" t="s">
        <v>19</v>
      </c>
      <c r="AA12" s="57" t="s">
        <v>21</v>
      </c>
      <c r="AB12">
        <v>2.7</v>
      </c>
      <c r="AC12">
        <v>1.2</v>
      </c>
    </row>
    <row r="13" spans="1:29" x14ac:dyDescent="0.3">
      <c r="A13">
        <v>67</v>
      </c>
      <c r="B13">
        <v>65</v>
      </c>
      <c r="C13" s="57">
        <v>60</v>
      </c>
      <c r="D13">
        <v>87</v>
      </c>
      <c r="E13">
        <v>84</v>
      </c>
      <c r="F13" s="57">
        <v>81</v>
      </c>
      <c r="G13" s="1" t="s">
        <v>14</v>
      </c>
      <c r="H13">
        <v>53</v>
      </c>
      <c r="I13">
        <v>58</v>
      </c>
      <c r="J13" s="57">
        <v>50</v>
      </c>
      <c r="K13">
        <v>80</v>
      </c>
      <c r="L13">
        <v>91</v>
      </c>
      <c r="M13" s="57">
        <v>81</v>
      </c>
      <c r="N13">
        <f t="shared" si="2"/>
        <v>1.62</v>
      </c>
      <c r="Q13">
        <f>F4/C4</f>
        <v>1.3720083246618109</v>
      </c>
      <c r="R13" s="57">
        <v>9</v>
      </c>
      <c r="V13" t="s">
        <v>21</v>
      </c>
      <c r="AA13" s="57" t="s">
        <v>14</v>
      </c>
      <c r="AB13">
        <v>2.4</v>
      </c>
      <c r="AC13">
        <v>1.3</v>
      </c>
    </row>
    <row r="14" spans="1:29" x14ac:dyDescent="0.3">
      <c r="A14">
        <v>63</v>
      </c>
      <c r="B14">
        <v>67</v>
      </c>
      <c r="C14" s="57">
        <v>67</v>
      </c>
      <c r="D14">
        <v>86</v>
      </c>
      <c r="E14">
        <v>95</v>
      </c>
      <c r="F14" s="57">
        <v>92</v>
      </c>
      <c r="G14" s="1" t="s">
        <v>14</v>
      </c>
      <c r="H14">
        <v>58</v>
      </c>
      <c r="I14">
        <v>60</v>
      </c>
      <c r="J14" s="57">
        <v>63</v>
      </c>
      <c r="K14">
        <v>82</v>
      </c>
      <c r="L14">
        <v>93</v>
      </c>
      <c r="M14" s="57">
        <v>98</v>
      </c>
      <c r="N14">
        <f t="shared" si="2"/>
        <v>1.5555555555555556</v>
      </c>
    </row>
    <row r="15" spans="1:29" x14ac:dyDescent="0.3">
      <c r="A15">
        <v>64</v>
      </c>
      <c r="B15">
        <v>65</v>
      </c>
      <c r="C15" s="57">
        <v>64</v>
      </c>
      <c r="D15">
        <v>83</v>
      </c>
      <c r="E15">
        <v>82</v>
      </c>
      <c r="F15" s="57">
        <v>81</v>
      </c>
      <c r="G15" s="1" t="s">
        <v>14</v>
      </c>
      <c r="H15">
        <v>52</v>
      </c>
      <c r="I15">
        <v>60</v>
      </c>
      <c r="J15" s="57">
        <v>60</v>
      </c>
      <c r="K15">
        <v>75</v>
      </c>
      <c r="L15">
        <v>88</v>
      </c>
      <c r="M15" s="57">
        <v>83</v>
      </c>
      <c r="N15">
        <f t="shared" si="2"/>
        <v>1.3833333333333333</v>
      </c>
      <c r="O15">
        <f>K7+0.15</f>
        <v>1.3752380952380951</v>
      </c>
      <c r="P15">
        <f>L7+0.15</f>
        <v>1.3995238095238094</v>
      </c>
      <c r="Q15">
        <f>M7+0.15</f>
        <v>1.4047619047619047</v>
      </c>
    </row>
    <row r="16" spans="1:29" x14ac:dyDescent="0.3">
      <c r="A16">
        <v>62</v>
      </c>
      <c r="B16">
        <v>63</v>
      </c>
      <c r="C16" s="57">
        <v>65</v>
      </c>
      <c r="D16">
        <v>85</v>
      </c>
      <c r="E16">
        <v>89</v>
      </c>
      <c r="F16" s="57">
        <v>95</v>
      </c>
      <c r="G16" s="1" t="s">
        <v>14</v>
      </c>
      <c r="H16">
        <v>57</v>
      </c>
      <c r="I16">
        <v>54</v>
      </c>
      <c r="J16" s="57">
        <v>60</v>
      </c>
      <c r="K16">
        <v>85</v>
      </c>
      <c r="L16">
        <v>86</v>
      </c>
      <c r="M16" s="57">
        <v>98</v>
      </c>
      <c r="N16">
        <f t="shared" si="2"/>
        <v>1.6333333333333333</v>
      </c>
      <c r="P16" s="16"/>
    </row>
    <row r="17" spans="1:21" x14ac:dyDescent="0.3">
      <c r="A17">
        <v>64</v>
      </c>
      <c r="B17">
        <v>69</v>
      </c>
      <c r="C17" s="57">
        <v>64</v>
      </c>
      <c r="D17">
        <v>84</v>
      </c>
      <c r="E17">
        <v>92</v>
      </c>
      <c r="F17" s="57">
        <v>89</v>
      </c>
      <c r="G17" s="1" t="s">
        <v>14</v>
      </c>
      <c r="H17">
        <v>55</v>
      </c>
      <c r="I17">
        <v>55</v>
      </c>
      <c r="J17" s="57">
        <v>59</v>
      </c>
      <c r="K17">
        <v>82</v>
      </c>
      <c r="L17">
        <v>88</v>
      </c>
      <c r="M17" s="57">
        <v>95</v>
      </c>
      <c r="N17">
        <f t="shared" si="2"/>
        <v>1.6101694915254237</v>
      </c>
      <c r="T17">
        <f>31/47</f>
        <v>0.65957446808510634</v>
      </c>
    </row>
    <row r="18" spans="1:21" x14ac:dyDescent="0.3">
      <c r="A18">
        <v>62</v>
      </c>
      <c r="B18">
        <v>65</v>
      </c>
      <c r="C18" s="57">
        <v>66</v>
      </c>
      <c r="D18">
        <v>81</v>
      </c>
      <c r="E18">
        <v>90</v>
      </c>
      <c r="F18" s="57">
        <v>81</v>
      </c>
      <c r="G18" s="1" t="s">
        <v>14</v>
      </c>
      <c r="H18">
        <v>53</v>
      </c>
      <c r="I18">
        <v>59</v>
      </c>
      <c r="J18" s="57">
        <v>56</v>
      </c>
      <c r="K18">
        <v>77</v>
      </c>
      <c r="L18">
        <v>88</v>
      </c>
      <c r="M18" s="57">
        <v>87</v>
      </c>
      <c r="N18">
        <f t="shared" si="2"/>
        <v>1.5535714285714286</v>
      </c>
      <c r="P18" s="16"/>
    </row>
    <row r="19" spans="1:21" x14ac:dyDescent="0.3">
      <c r="A19">
        <v>59</v>
      </c>
      <c r="B19">
        <v>64</v>
      </c>
      <c r="C19" s="57">
        <v>65</v>
      </c>
      <c r="D19">
        <v>78</v>
      </c>
      <c r="E19">
        <v>85</v>
      </c>
      <c r="F19" s="57">
        <v>90</v>
      </c>
      <c r="G19" s="1" t="s">
        <v>14</v>
      </c>
      <c r="H19">
        <v>53</v>
      </c>
      <c r="I19">
        <v>55</v>
      </c>
      <c r="J19" s="57">
        <v>60</v>
      </c>
      <c r="K19">
        <v>75</v>
      </c>
      <c r="L19">
        <v>85</v>
      </c>
      <c r="M19" s="57">
        <v>93</v>
      </c>
      <c r="N19">
        <f t="shared" si="2"/>
        <v>1.55</v>
      </c>
    </row>
    <row r="20" spans="1:21" x14ac:dyDescent="0.3">
      <c r="A20">
        <v>61</v>
      </c>
      <c r="B20">
        <v>64</v>
      </c>
      <c r="C20" s="57">
        <v>65</v>
      </c>
      <c r="D20">
        <v>86</v>
      </c>
      <c r="E20">
        <v>93</v>
      </c>
      <c r="F20" s="57">
        <v>91</v>
      </c>
      <c r="G20" s="1" t="s">
        <v>14</v>
      </c>
      <c r="H20">
        <v>54</v>
      </c>
      <c r="I20">
        <v>57</v>
      </c>
      <c r="J20" s="57">
        <v>56</v>
      </c>
      <c r="K20">
        <v>90</v>
      </c>
      <c r="L20">
        <v>90</v>
      </c>
      <c r="M20" s="57">
        <v>90</v>
      </c>
      <c r="N20">
        <f t="shared" si="2"/>
        <v>1.6071428571428572</v>
      </c>
      <c r="P20">
        <f>31/47</f>
        <v>0.65957446808510634</v>
      </c>
    </row>
    <row r="21" spans="1:21" x14ac:dyDescent="0.3">
      <c r="A21">
        <v>65</v>
      </c>
      <c r="B21">
        <v>63</v>
      </c>
      <c r="C21" s="57">
        <v>63</v>
      </c>
      <c r="D21">
        <v>92</v>
      </c>
      <c r="E21">
        <v>89</v>
      </c>
      <c r="F21" s="57">
        <v>89</v>
      </c>
      <c r="G21" s="1" t="s">
        <v>14</v>
      </c>
      <c r="H21">
        <v>61</v>
      </c>
      <c r="I21">
        <v>58</v>
      </c>
      <c r="J21" s="57">
        <v>52</v>
      </c>
      <c r="K21">
        <v>99</v>
      </c>
      <c r="L21">
        <v>87</v>
      </c>
      <c r="M21" s="57">
        <v>84</v>
      </c>
      <c r="N21">
        <f t="shared" si="2"/>
        <v>1.6153846153846154</v>
      </c>
    </row>
    <row r="22" spans="1:21" x14ac:dyDescent="0.3">
      <c r="A22">
        <v>65</v>
      </c>
      <c r="B22">
        <v>61</v>
      </c>
      <c r="C22" s="57">
        <v>63</v>
      </c>
      <c r="D22">
        <v>84</v>
      </c>
      <c r="E22">
        <v>80</v>
      </c>
      <c r="F22" s="57">
        <v>86</v>
      </c>
      <c r="G22" s="1" t="s">
        <v>14</v>
      </c>
      <c r="H22">
        <v>54</v>
      </c>
      <c r="I22">
        <v>55</v>
      </c>
      <c r="J22" s="57">
        <v>58</v>
      </c>
      <c r="K22">
        <v>83</v>
      </c>
      <c r="L22">
        <v>81</v>
      </c>
      <c r="M22" s="57">
        <v>86</v>
      </c>
      <c r="N22">
        <f t="shared" si="2"/>
        <v>1.4827586206896552</v>
      </c>
    </row>
    <row r="23" spans="1:21" x14ac:dyDescent="0.3">
      <c r="A23">
        <v>64</v>
      </c>
      <c r="B23">
        <v>63</v>
      </c>
      <c r="C23" s="57">
        <v>69</v>
      </c>
      <c r="D23">
        <v>78</v>
      </c>
      <c r="E23">
        <v>89</v>
      </c>
      <c r="F23" s="57">
        <v>97</v>
      </c>
      <c r="G23" s="1" t="s">
        <v>14</v>
      </c>
      <c r="H23">
        <v>58</v>
      </c>
      <c r="I23">
        <v>59</v>
      </c>
      <c r="J23" s="57">
        <v>62</v>
      </c>
      <c r="K23">
        <v>79</v>
      </c>
      <c r="L23">
        <v>91</v>
      </c>
      <c r="M23" s="57">
        <v>94</v>
      </c>
      <c r="N23">
        <f t="shared" si="2"/>
        <v>1.5161290322580645</v>
      </c>
    </row>
    <row r="24" spans="1:21" x14ac:dyDescent="0.3">
      <c r="A24">
        <v>59</v>
      </c>
      <c r="B24">
        <v>65</v>
      </c>
      <c r="C24" s="57">
        <v>62</v>
      </c>
      <c r="D24">
        <v>81</v>
      </c>
      <c r="E24">
        <v>88</v>
      </c>
      <c r="F24" s="57">
        <v>81</v>
      </c>
      <c r="G24" s="1" t="s">
        <v>14</v>
      </c>
      <c r="H24">
        <v>52</v>
      </c>
      <c r="I24">
        <v>62</v>
      </c>
      <c r="J24" s="57">
        <v>50</v>
      </c>
      <c r="K24">
        <v>83</v>
      </c>
      <c r="L24">
        <v>93</v>
      </c>
      <c r="M24" s="57">
        <v>74</v>
      </c>
      <c r="N24">
        <f t="shared" si="2"/>
        <v>1.48</v>
      </c>
    </row>
    <row r="25" spans="1:21" x14ac:dyDescent="0.3">
      <c r="A25">
        <v>67</v>
      </c>
      <c r="B25">
        <v>64</v>
      </c>
      <c r="C25" s="57">
        <v>61</v>
      </c>
      <c r="D25">
        <v>100</v>
      </c>
      <c r="E25">
        <v>91</v>
      </c>
      <c r="F25" s="57">
        <v>98</v>
      </c>
      <c r="G25" s="1" t="s">
        <v>14</v>
      </c>
      <c r="H25">
        <v>62</v>
      </c>
      <c r="I25">
        <v>59</v>
      </c>
      <c r="J25" s="57">
        <v>51</v>
      </c>
      <c r="K25">
        <v>100</v>
      </c>
      <c r="L25">
        <v>99</v>
      </c>
      <c r="M25" s="57">
        <v>90</v>
      </c>
      <c r="N25">
        <f t="shared" si="2"/>
        <v>1.7647058823529411</v>
      </c>
    </row>
    <row r="26" spans="1:21" x14ac:dyDescent="0.3">
      <c r="A26">
        <v>63</v>
      </c>
      <c r="B26">
        <v>66</v>
      </c>
      <c r="C26" s="57">
        <v>65</v>
      </c>
      <c r="D26">
        <v>87</v>
      </c>
      <c r="E26">
        <v>90</v>
      </c>
      <c r="F26" s="57">
        <v>91</v>
      </c>
      <c r="G26" s="1" t="s">
        <v>14</v>
      </c>
      <c r="H26">
        <v>52</v>
      </c>
      <c r="I26">
        <v>59</v>
      </c>
      <c r="J26" s="57">
        <v>57</v>
      </c>
      <c r="K26">
        <v>86</v>
      </c>
      <c r="L26">
        <v>95</v>
      </c>
      <c r="M26" s="57">
        <v>87</v>
      </c>
      <c r="N26">
        <f t="shared" si="2"/>
        <v>1.5263157894736843</v>
      </c>
    </row>
    <row r="27" spans="1:21" x14ac:dyDescent="0.3">
      <c r="A27">
        <v>66</v>
      </c>
      <c r="B27">
        <v>63</v>
      </c>
      <c r="C27" s="57">
        <v>61</v>
      </c>
      <c r="D27">
        <v>90</v>
      </c>
      <c r="E27">
        <v>85</v>
      </c>
      <c r="F27" s="57">
        <v>86</v>
      </c>
      <c r="G27" s="1" t="s">
        <v>14</v>
      </c>
      <c r="H27">
        <v>60</v>
      </c>
      <c r="I27">
        <v>54</v>
      </c>
      <c r="J27" s="57">
        <v>53</v>
      </c>
      <c r="K27">
        <v>95</v>
      </c>
      <c r="L27">
        <v>82</v>
      </c>
      <c r="M27" s="57">
        <v>84</v>
      </c>
      <c r="N27">
        <f t="shared" si="2"/>
        <v>1.5849056603773586</v>
      </c>
    </row>
    <row r="28" spans="1:21" x14ac:dyDescent="0.3">
      <c r="A28">
        <v>65</v>
      </c>
      <c r="B28">
        <v>68</v>
      </c>
      <c r="C28" s="57">
        <v>62</v>
      </c>
      <c r="D28">
        <v>89</v>
      </c>
      <c r="E28">
        <v>91</v>
      </c>
      <c r="F28" s="57">
        <v>78</v>
      </c>
      <c r="G28" s="1" t="s">
        <v>14</v>
      </c>
      <c r="H28">
        <v>54</v>
      </c>
      <c r="I28">
        <v>56</v>
      </c>
      <c r="J28" s="57">
        <v>51</v>
      </c>
      <c r="K28">
        <v>87</v>
      </c>
      <c r="L28">
        <v>90</v>
      </c>
      <c r="M28" s="57">
        <v>81</v>
      </c>
      <c r="N28">
        <f t="shared" si="2"/>
        <v>1.588235294117647</v>
      </c>
      <c r="Q28" t="e">
        <f ca="1">J3/CO+H12:M30UNT(J8:J57)</f>
        <v>#NAME?</v>
      </c>
      <c r="U28">
        <f>104/70</f>
        <v>1.4857142857142858</v>
      </c>
    </row>
    <row r="29" spans="1:21" x14ac:dyDescent="0.3">
      <c r="A29">
        <v>64</v>
      </c>
      <c r="B29">
        <v>66</v>
      </c>
      <c r="C29" s="57">
        <v>62</v>
      </c>
      <c r="D29">
        <v>80</v>
      </c>
      <c r="E29">
        <v>81</v>
      </c>
      <c r="F29" s="57">
        <v>85</v>
      </c>
      <c r="G29" s="1" t="s">
        <v>14</v>
      </c>
      <c r="H29">
        <v>59</v>
      </c>
      <c r="I29">
        <v>58</v>
      </c>
      <c r="J29" s="57">
        <v>53</v>
      </c>
      <c r="K29">
        <v>88</v>
      </c>
      <c r="L29">
        <v>78</v>
      </c>
      <c r="M29" s="57">
        <v>80</v>
      </c>
      <c r="N29">
        <f t="shared" si="2"/>
        <v>1.5094339622641511</v>
      </c>
    </row>
    <row r="30" spans="1:21" x14ac:dyDescent="0.3">
      <c r="A30">
        <v>66</v>
      </c>
      <c r="B30">
        <v>66</v>
      </c>
      <c r="C30" s="57">
        <v>63</v>
      </c>
      <c r="D30">
        <v>81</v>
      </c>
      <c r="E30">
        <v>82</v>
      </c>
      <c r="F30" s="57">
        <v>84</v>
      </c>
      <c r="G30" s="1" t="s">
        <v>14</v>
      </c>
      <c r="H30">
        <v>55</v>
      </c>
      <c r="I30">
        <v>59</v>
      </c>
      <c r="J30" s="57">
        <v>53</v>
      </c>
      <c r="K30">
        <v>81</v>
      </c>
      <c r="L30">
        <v>86</v>
      </c>
      <c r="M30" s="57">
        <v>80</v>
      </c>
      <c r="N30">
        <f t="shared" si="2"/>
        <v>1.5094339622641511</v>
      </c>
      <c r="U30">
        <f>SUM(D8:D30)</f>
        <v>1948</v>
      </c>
    </row>
    <row r="31" spans="1:21" x14ac:dyDescent="0.3">
      <c r="A31">
        <v>66</v>
      </c>
      <c r="B31">
        <v>64</v>
      </c>
      <c r="C31" s="57">
        <v>65</v>
      </c>
      <c r="D31">
        <v>89</v>
      </c>
      <c r="E31">
        <v>84</v>
      </c>
      <c r="F31" s="57">
        <v>92</v>
      </c>
      <c r="G31" s="1" t="s">
        <v>14</v>
      </c>
      <c r="H31">
        <v>58</v>
      </c>
      <c r="I31">
        <v>57</v>
      </c>
      <c r="J31" s="57">
        <v>56</v>
      </c>
      <c r="K31">
        <v>91</v>
      </c>
      <c r="L31">
        <v>86</v>
      </c>
      <c r="M31" s="57">
        <v>88</v>
      </c>
      <c r="U31">
        <f>COUNT(D8:D30)</f>
        <v>23</v>
      </c>
    </row>
    <row r="32" spans="1:21" x14ac:dyDescent="0.3">
      <c r="A32">
        <v>64</v>
      </c>
      <c r="B32">
        <v>65</v>
      </c>
      <c r="C32" s="57">
        <v>67</v>
      </c>
      <c r="D32">
        <v>88</v>
      </c>
      <c r="E32">
        <v>99</v>
      </c>
      <c r="F32" s="57">
        <v>90</v>
      </c>
      <c r="G32" s="1" t="s">
        <v>14</v>
      </c>
      <c r="H32">
        <v>57</v>
      </c>
      <c r="I32">
        <v>62</v>
      </c>
      <c r="J32" s="57">
        <v>59</v>
      </c>
      <c r="K32">
        <v>88</v>
      </c>
      <c r="L32">
        <v>103</v>
      </c>
      <c r="M32" s="57">
        <v>86</v>
      </c>
      <c r="U32">
        <f>U30/U31</f>
        <v>84.695652173913047</v>
      </c>
    </row>
    <row r="33" spans="1:13" x14ac:dyDescent="0.3">
      <c r="A33">
        <v>63</v>
      </c>
      <c r="B33">
        <v>60</v>
      </c>
      <c r="C33" s="57">
        <v>67</v>
      </c>
      <c r="D33">
        <v>89</v>
      </c>
      <c r="E33">
        <v>81</v>
      </c>
      <c r="F33" s="57">
        <v>97</v>
      </c>
      <c r="G33" s="1" t="s">
        <v>14</v>
      </c>
      <c r="H33">
        <v>56</v>
      </c>
      <c r="I33">
        <v>52</v>
      </c>
      <c r="J33" s="57">
        <v>63</v>
      </c>
      <c r="K33">
        <v>87</v>
      </c>
      <c r="L33">
        <v>81</v>
      </c>
      <c r="M33" s="57">
        <v>99</v>
      </c>
    </row>
    <row r="34" spans="1:13" x14ac:dyDescent="0.3">
      <c r="A34">
        <v>65</v>
      </c>
      <c r="B34">
        <v>63</v>
      </c>
      <c r="C34" s="57">
        <v>60</v>
      </c>
      <c r="D34">
        <v>89</v>
      </c>
      <c r="E34">
        <v>86</v>
      </c>
      <c r="F34" s="57">
        <v>86</v>
      </c>
      <c r="G34" s="1" t="s">
        <v>14</v>
      </c>
      <c r="H34">
        <v>57</v>
      </c>
      <c r="I34">
        <v>59</v>
      </c>
      <c r="J34" s="57">
        <v>53</v>
      </c>
      <c r="K34">
        <v>87</v>
      </c>
      <c r="L34">
        <v>91</v>
      </c>
      <c r="M34" s="57">
        <v>83</v>
      </c>
    </row>
    <row r="35" spans="1:13" x14ac:dyDescent="0.3">
      <c r="A35" s="5">
        <v>61</v>
      </c>
      <c r="B35">
        <v>67</v>
      </c>
      <c r="C35" s="57">
        <v>62</v>
      </c>
      <c r="D35">
        <v>85</v>
      </c>
      <c r="E35">
        <v>95</v>
      </c>
      <c r="F35" s="57">
        <v>86</v>
      </c>
      <c r="G35" s="1" t="s">
        <v>14</v>
      </c>
      <c r="H35">
        <v>60</v>
      </c>
      <c r="I35">
        <v>59</v>
      </c>
      <c r="J35" s="57">
        <v>58</v>
      </c>
      <c r="K35">
        <v>90</v>
      </c>
      <c r="L35">
        <v>88</v>
      </c>
      <c r="M35" s="57">
        <v>88</v>
      </c>
    </row>
    <row r="36" spans="1:13" x14ac:dyDescent="0.3">
      <c r="A36">
        <v>62</v>
      </c>
      <c r="B36">
        <v>67</v>
      </c>
      <c r="C36" s="57">
        <v>63</v>
      </c>
      <c r="D36">
        <v>86</v>
      </c>
      <c r="E36">
        <v>94</v>
      </c>
      <c r="F36" s="57">
        <v>82</v>
      </c>
      <c r="G36" s="1" t="s">
        <v>14</v>
      </c>
      <c r="H36">
        <v>57</v>
      </c>
      <c r="I36">
        <v>55</v>
      </c>
      <c r="J36" s="57">
        <v>58</v>
      </c>
      <c r="K36">
        <v>88</v>
      </c>
      <c r="L36">
        <v>85</v>
      </c>
      <c r="M36" s="57">
        <v>89</v>
      </c>
    </row>
    <row r="37" spans="1:13" x14ac:dyDescent="0.3">
      <c r="A37">
        <v>57</v>
      </c>
      <c r="B37">
        <v>66</v>
      </c>
      <c r="C37" s="57">
        <v>62</v>
      </c>
      <c r="D37">
        <v>87</v>
      </c>
      <c r="E37">
        <v>92</v>
      </c>
      <c r="F37" s="57">
        <v>85</v>
      </c>
      <c r="G37" s="1" t="s">
        <v>14</v>
      </c>
      <c r="H37">
        <v>58</v>
      </c>
      <c r="I37">
        <v>58</v>
      </c>
      <c r="J37" s="57">
        <v>53</v>
      </c>
      <c r="K37">
        <v>96</v>
      </c>
      <c r="L37">
        <v>86</v>
      </c>
      <c r="M37" s="57">
        <v>82</v>
      </c>
    </row>
    <row r="85" spans="1:18" x14ac:dyDescent="0.3">
      <c r="A85">
        <v>66</v>
      </c>
      <c r="B85">
        <v>64</v>
      </c>
      <c r="C85">
        <v>68</v>
      </c>
      <c r="D85">
        <v>87</v>
      </c>
      <c r="E85">
        <v>84</v>
      </c>
      <c r="F85">
        <v>90</v>
      </c>
      <c r="G85" t="s">
        <v>14</v>
      </c>
      <c r="H85">
        <v>56</v>
      </c>
      <c r="I85">
        <v>58</v>
      </c>
      <c r="J85">
        <v>59</v>
      </c>
      <c r="K85">
        <v>86</v>
      </c>
      <c r="L85">
        <v>87</v>
      </c>
      <c r="M85">
        <v>88</v>
      </c>
    </row>
    <row r="86" spans="1:18" x14ac:dyDescent="0.3">
      <c r="A86">
        <v>64</v>
      </c>
      <c r="B86">
        <v>65</v>
      </c>
      <c r="C86">
        <v>66</v>
      </c>
      <c r="D86">
        <v>88</v>
      </c>
      <c r="E86">
        <v>93</v>
      </c>
      <c r="F86">
        <v>85</v>
      </c>
      <c r="G86" t="s">
        <v>14</v>
      </c>
      <c r="H86">
        <v>55</v>
      </c>
      <c r="I86">
        <v>57</v>
      </c>
      <c r="J86">
        <v>59</v>
      </c>
      <c r="K86">
        <v>89</v>
      </c>
      <c r="L86">
        <v>90</v>
      </c>
      <c r="M86">
        <v>87</v>
      </c>
    </row>
    <row r="87" spans="1:18" x14ac:dyDescent="0.3">
      <c r="A87">
        <v>65</v>
      </c>
      <c r="B87">
        <v>64</v>
      </c>
      <c r="C87">
        <v>62</v>
      </c>
      <c r="D87">
        <v>89</v>
      </c>
      <c r="E87">
        <v>85</v>
      </c>
      <c r="F87">
        <v>81</v>
      </c>
      <c r="G87" t="s">
        <v>14</v>
      </c>
      <c r="H87">
        <v>58</v>
      </c>
      <c r="I87">
        <v>51</v>
      </c>
      <c r="J87">
        <v>57</v>
      </c>
      <c r="K87">
        <v>87</v>
      </c>
      <c r="L87">
        <v>78</v>
      </c>
      <c r="M87">
        <v>90</v>
      </c>
    </row>
    <row r="88" spans="1:18" s="52" customFormat="1" x14ac:dyDescent="0.3">
      <c r="A88" s="52">
        <v>64</v>
      </c>
      <c r="B88" s="52">
        <v>61</v>
      </c>
      <c r="C88" s="52">
        <v>64</v>
      </c>
      <c r="D88" s="52">
        <v>78</v>
      </c>
      <c r="E88" s="52">
        <v>76</v>
      </c>
      <c r="F88" s="52">
        <v>86</v>
      </c>
      <c r="G88" s="52" t="s">
        <v>14</v>
      </c>
      <c r="H88" s="52">
        <v>54</v>
      </c>
      <c r="I88" s="52">
        <v>57</v>
      </c>
      <c r="J88" s="52">
        <v>56</v>
      </c>
      <c r="K88" s="52">
        <v>74</v>
      </c>
      <c r="L88" s="52">
        <v>83</v>
      </c>
      <c r="M88" s="52">
        <v>83</v>
      </c>
      <c r="R88" s="53"/>
    </row>
    <row r="89" spans="1:18" x14ac:dyDescent="0.3">
      <c r="A89">
        <v>67</v>
      </c>
      <c r="B89">
        <v>64</v>
      </c>
      <c r="C89">
        <v>64</v>
      </c>
      <c r="D89">
        <v>90</v>
      </c>
      <c r="E89">
        <v>84</v>
      </c>
      <c r="F89">
        <v>94</v>
      </c>
      <c r="G89" t="s">
        <v>14</v>
      </c>
      <c r="H89">
        <v>53</v>
      </c>
      <c r="I89">
        <v>59</v>
      </c>
      <c r="J89">
        <v>60</v>
      </c>
      <c r="K89">
        <v>78</v>
      </c>
      <c r="L89">
        <v>95</v>
      </c>
      <c r="M89">
        <v>95</v>
      </c>
    </row>
    <row r="90" spans="1:18" x14ac:dyDescent="0.3">
      <c r="A90">
        <v>63</v>
      </c>
      <c r="B90">
        <v>62</v>
      </c>
      <c r="C90">
        <v>67</v>
      </c>
      <c r="D90">
        <v>83</v>
      </c>
      <c r="E90">
        <v>83</v>
      </c>
      <c r="F90">
        <v>90</v>
      </c>
      <c r="G90" t="s">
        <v>14</v>
      </c>
      <c r="H90">
        <v>62</v>
      </c>
      <c r="I90">
        <v>47</v>
      </c>
      <c r="J90">
        <v>58</v>
      </c>
      <c r="K90">
        <v>97</v>
      </c>
      <c r="L90">
        <v>68</v>
      </c>
      <c r="M90">
        <v>91</v>
      </c>
    </row>
    <row r="91" spans="1:18" x14ac:dyDescent="0.3">
      <c r="A91">
        <v>63</v>
      </c>
      <c r="B91">
        <v>63</v>
      </c>
      <c r="C91">
        <v>67</v>
      </c>
      <c r="D91">
        <v>76</v>
      </c>
      <c r="E91">
        <v>84</v>
      </c>
      <c r="F91">
        <v>86</v>
      </c>
      <c r="G91" t="s">
        <v>14</v>
      </c>
      <c r="H91">
        <v>58</v>
      </c>
      <c r="I91">
        <v>53</v>
      </c>
      <c r="J91">
        <v>62</v>
      </c>
      <c r="K91">
        <v>79</v>
      </c>
      <c r="L91">
        <v>75</v>
      </c>
      <c r="M91">
        <v>92</v>
      </c>
    </row>
    <row r="92" spans="1:18" x14ac:dyDescent="0.3">
      <c r="A92">
        <v>60</v>
      </c>
      <c r="B92">
        <v>64</v>
      </c>
      <c r="C92">
        <v>65</v>
      </c>
      <c r="D92">
        <v>80</v>
      </c>
      <c r="E92">
        <v>90</v>
      </c>
      <c r="F92">
        <v>84</v>
      </c>
      <c r="G92" t="s">
        <v>14</v>
      </c>
      <c r="H92">
        <v>52</v>
      </c>
      <c r="I92">
        <v>55</v>
      </c>
      <c r="J92">
        <v>55</v>
      </c>
      <c r="K92">
        <v>79</v>
      </c>
      <c r="L92">
        <v>87</v>
      </c>
      <c r="M92">
        <v>88</v>
      </c>
    </row>
    <row r="93" spans="1:18" x14ac:dyDescent="0.3">
      <c r="A93">
        <v>62</v>
      </c>
      <c r="B93">
        <v>62</v>
      </c>
      <c r="C93">
        <v>66</v>
      </c>
      <c r="D93">
        <v>87</v>
      </c>
      <c r="E93">
        <v>86</v>
      </c>
      <c r="F93">
        <v>90</v>
      </c>
      <c r="G93" t="s">
        <v>14</v>
      </c>
      <c r="H93">
        <v>56</v>
      </c>
      <c r="I93">
        <v>55</v>
      </c>
      <c r="J93">
        <v>57</v>
      </c>
      <c r="K93">
        <v>86</v>
      </c>
      <c r="L93">
        <v>88</v>
      </c>
      <c r="M93">
        <v>89</v>
      </c>
    </row>
    <row r="94" spans="1:18" x14ac:dyDescent="0.3">
      <c r="A94">
        <v>67</v>
      </c>
      <c r="B94">
        <v>65</v>
      </c>
      <c r="C94">
        <v>60</v>
      </c>
      <c r="D94">
        <v>87</v>
      </c>
      <c r="E94">
        <v>84</v>
      </c>
      <c r="F94">
        <v>81</v>
      </c>
      <c r="G94" t="s">
        <v>14</v>
      </c>
      <c r="H94">
        <v>53</v>
      </c>
      <c r="I94">
        <v>58</v>
      </c>
      <c r="J94">
        <v>50</v>
      </c>
      <c r="K94">
        <v>80</v>
      </c>
      <c r="L94">
        <v>91</v>
      </c>
      <c r="M94">
        <v>81</v>
      </c>
    </row>
    <row r="95" spans="1:18" x14ac:dyDescent="0.3">
      <c r="A95">
        <v>63</v>
      </c>
      <c r="B95">
        <v>67</v>
      </c>
      <c r="C95">
        <v>67</v>
      </c>
      <c r="D95">
        <v>86</v>
      </c>
      <c r="E95">
        <v>95</v>
      </c>
      <c r="F95">
        <v>92</v>
      </c>
      <c r="G95" t="s">
        <v>14</v>
      </c>
      <c r="H95">
        <v>58</v>
      </c>
      <c r="I95">
        <v>60</v>
      </c>
      <c r="J95">
        <v>63</v>
      </c>
      <c r="K95">
        <v>82</v>
      </c>
      <c r="L95">
        <v>93</v>
      </c>
      <c r="M95">
        <v>98</v>
      </c>
    </row>
    <row r="96" spans="1:18" x14ac:dyDescent="0.3">
      <c r="A96">
        <v>64</v>
      </c>
      <c r="B96">
        <v>65</v>
      </c>
      <c r="C96">
        <v>64</v>
      </c>
      <c r="D96">
        <v>83</v>
      </c>
      <c r="E96">
        <v>82</v>
      </c>
      <c r="F96">
        <v>81</v>
      </c>
      <c r="G96" t="s">
        <v>14</v>
      </c>
      <c r="H96">
        <v>52</v>
      </c>
      <c r="I96">
        <v>60</v>
      </c>
      <c r="J96">
        <v>60</v>
      </c>
      <c r="K96">
        <v>75</v>
      </c>
      <c r="L96">
        <v>88</v>
      </c>
      <c r="M96">
        <v>83</v>
      </c>
    </row>
    <row r="97" spans="1:18" x14ac:dyDescent="0.3">
      <c r="A97">
        <v>62</v>
      </c>
      <c r="B97">
        <v>63</v>
      </c>
      <c r="C97">
        <v>65</v>
      </c>
      <c r="D97">
        <v>85</v>
      </c>
      <c r="E97">
        <v>89</v>
      </c>
      <c r="F97">
        <v>95</v>
      </c>
      <c r="G97" t="s">
        <v>14</v>
      </c>
      <c r="H97">
        <v>57</v>
      </c>
      <c r="I97">
        <v>54</v>
      </c>
      <c r="J97">
        <v>60</v>
      </c>
      <c r="K97">
        <v>85</v>
      </c>
      <c r="L97">
        <v>86</v>
      </c>
      <c r="M97">
        <v>98</v>
      </c>
    </row>
    <row r="98" spans="1:18" x14ac:dyDescent="0.3">
      <c r="A98">
        <v>64</v>
      </c>
      <c r="B98">
        <v>69</v>
      </c>
      <c r="C98">
        <v>64</v>
      </c>
      <c r="D98">
        <v>84</v>
      </c>
      <c r="E98">
        <v>92</v>
      </c>
      <c r="F98">
        <v>89</v>
      </c>
      <c r="G98" t="s">
        <v>14</v>
      </c>
      <c r="H98">
        <v>55</v>
      </c>
      <c r="I98">
        <v>55</v>
      </c>
      <c r="J98">
        <v>59</v>
      </c>
      <c r="K98">
        <v>82</v>
      </c>
      <c r="L98">
        <v>88</v>
      </c>
      <c r="M98">
        <v>95</v>
      </c>
    </row>
    <row r="99" spans="1:18" s="4" customFormat="1" x14ac:dyDescent="0.3">
      <c r="A99" s="4">
        <v>62</v>
      </c>
      <c r="B99" s="4">
        <v>65</v>
      </c>
      <c r="C99" s="4">
        <v>66</v>
      </c>
      <c r="D99" s="4">
        <v>81</v>
      </c>
      <c r="E99" s="4">
        <v>90</v>
      </c>
      <c r="F99" s="4">
        <v>81</v>
      </c>
      <c r="G99" s="4" t="s">
        <v>14</v>
      </c>
      <c r="H99" s="4">
        <v>53</v>
      </c>
      <c r="I99" s="4">
        <v>59</v>
      </c>
      <c r="J99" s="4">
        <v>56</v>
      </c>
      <c r="K99" s="4">
        <v>77</v>
      </c>
      <c r="L99" s="4">
        <v>88</v>
      </c>
      <c r="M99" s="4">
        <v>87</v>
      </c>
      <c r="R99" s="7"/>
    </row>
    <row r="100" spans="1:18" x14ac:dyDescent="0.3">
      <c r="A100">
        <v>59</v>
      </c>
      <c r="B100">
        <v>64</v>
      </c>
      <c r="C100">
        <v>65</v>
      </c>
      <c r="D100">
        <v>78</v>
      </c>
      <c r="E100">
        <v>85</v>
      </c>
      <c r="F100">
        <v>90</v>
      </c>
      <c r="G100" t="s">
        <v>14</v>
      </c>
      <c r="H100">
        <v>53</v>
      </c>
      <c r="I100">
        <v>55</v>
      </c>
      <c r="J100">
        <v>60</v>
      </c>
      <c r="K100">
        <v>75</v>
      </c>
      <c r="L100">
        <v>85</v>
      </c>
      <c r="M100">
        <v>93</v>
      </c>
    </row>
    <row r="101" spans="1:18" x14ac:dyDescent="0.3">
      <c r="A101">
        <v>61</v>
      </c>
      <c r="B101">
        <v>64</v>
      </c>
      <c r="C101">
        <v>65</v>
      </c>
      <c r="D101">
        <v>86</v>
      </c>
      <c r="E101">
        <v>93</v>
      </c>
      <c r="F101">
        <v>91</v>
      </c>
      <c r="G101" t="s">
        <v>14</v>
      </c>
      <c r="H101">
        <v>54</v>
      </c>
      <c r="I101">
        <v>57</v>
      </c>
      <c r="J101">
        <v>56</v>
      </c>
      <c r="K101">
        <v>90</v>
      </c>
      <c r="L101">
        <v>90</v>
      </c>
      <c r="M101">
        <v>90</v>
      </c>
    </row>
    <row r="102" spans="1:18" x14ac:dyDescent="0.3">
      <c r="A102">
        <v>65</v>
      </c>
      <c r="B102">
        <v>63</v>
      </c>
      <c r="C102">
        <v>63</v>
      </c>
      <c r="D102">
        <v>92</v>
      </c>
      <c r="E102">
        <v>89</v>
      </c>
      <c r="F102">
        <v>89</v>
      </c>
      <c r="G102" t="s">
        <v>14</v>
      </c>
      <c r="H102">
        <v>61</v>
      </c>
      <c r="I102">
        <v>58</v>
      </c>
      <c r="J102">
        <v>52</v>
      </c>
      <c r="K102">
        <v>99</v>
      </c>
      <c r="L102">
        <v>87</v>
      </c>
      <c r="M102">
        <v>84</v>
      </c>
    </row>
    <row r="103" spans="1:18" x14ac:dyDescent="0.3">
      <c r="A103">
        <v>65</v>
      </c>
      <c r="B103">
        <v>61</v>
      </c>
      <c r="C103">
        <v>63</v>
      </c>
      <c r="D103">
        <v>84</v>
      </c>
      <c r="E103">
        <v>80</v>
      </c>
      <c r="F103">
        <v>86</v>
      </c>
      <c r="G103" t="s">
        <v>14</v>
      </c>
      <c r="H103">
        <v>54</v>
      </c>
      <c r="I103">
        <v>55</v>
      </c>
      <c r="J103">
        <v>58</v>
      </c>
      <c r="K103">
        <v>83</v>
      </c>
      <c r="L103">
        <v>81</v>
      </c>
      <c r="M103">
        <v>86</v>
      </c>
    </row>
    <row r="104" spans="1:18" x14ac:dyDescent="0.3">
      <c r="A104">
        <v>64</v>
      </c>
      <c r="B104">
        <v>63</v>
      </c>
      <c r="C104">
        <v>69</v>
      </c>
      <c r="D104">
        <v>78</v>
      </c>
      <c r="E104">
        <v>89</v>
      </c>
      <c r="F104">
        <v>97</v>
      </c>
      <c r="G104" t="s">
        <v>14</v>
      </c>
      <c r="H104">
        <v>58</v>
      </c>
      <c r="I104">
        <v>59</v>
      </c>
      <c r="J104">
        <v>62</v>
      </c>
      <c r="K104">
        <v>79</v>
      </c>
      <c r="L104">
        <v>91</v>
      </c>
      <c r="M104">
        <v>94</v>
      </c>
    </row>
    <row r="105" spans="1:18" x14ac:dyDescent="0.3">
      <c r="A105">
        <v>59</v>
      </c>
      <c r="B105">
        <v>65</v>
      </c>
      <c r="C105">
        <v>62</v>
      </c>
      <c r="D105">
        <v>81</v>
      </c>
      <c r="E105">
        <v>88</v>
      </c>
      <c r="F105">
        <v>81</v>
      </c>
      <c r="G105" t="s">
        <v>14</v>
      </c>
      <c r="H105">
        <v>52</v>
      </c>
      <c r="I105">
        <v>62</v>
      </c>
      <c r="J105">
        <v>50</v>
      </c>
      <c r="K105">
        <v>83</v>
      </c>
      <c r="L105">
        <v>93</v>
      </c>
      <c r="M105">
        <v>74</v>
      </c>
    </row>
    <row r="106" spans="1:18" x14ac:dyDescent="0.3">
      <c r="A106">
        <v>67</v>
      </c>
      <c r="B106">
        <v>64</v>
      </c>
      <c r="C106">
        <v>61</v>
      </c>
      <c r="D106">
        <v>100</v>
      </c>
      <c r="E106">
        <v>91</v>
      </c>
      <c r="F106">
        <v>98</v>
      </c>
      <c r="G106" t="s">
        <v>14</v>
      </c>
      <c r="H106">
        <v>62</v>
      </c>
      <c r="I106">
        <v>59</v>
      </c>
      <c r="J106">
        <v>51</v>
      </c>
      <c r="K106">
        <v>100</v>
      </c>
      <c r="L106">
        <v>99</v>
      </c>
      <c r="M106">
        <v>90</v>
      </c>
    </row>
    <row r="107" spans="1:18" x14ac:dyDescent="0.3">
      <c r="A107">
        <v>63</v>
      </c>
      <c r="B107">
        <v>66</v>
      </c>
      <c r="C107">
        <v>65</v>
      </c>
      <c r="D107">
        <v>87</v>
      </c>
      <c r="E107">
        <v>90</v>
      </c>
      <c r="F107">
        <v>91</v>
      </c>
      <c r="G107" t="s">
        <v>14</v>
      </c>
      <c r="H107">
        <v>52</v>
      </c>
      <c r="I107">
        <v>59</v>
      </c>
      <c r="J107">
        <v>57</v>
      </c>
      <c r="K107">
        <v>86</v>
      </c>
      <c r="L107">
        <v>95</v>
      </c>
      <c r="M107">
        <v>87</v>
      </c>
    </row>
    <row r="108" spans="1:18" x14ac:dyDescent="0.3">
      <c r="A108">
        <v>66</v>
      </c>
      <c r="B108">
        <v>63</v>
      </c>
      <c r="C108">
        <v>61</v>
      </c>
      <c r="D108">
        <v>90</v>
      </c>
      <c r="E108">
        <v>85</v>
      </c>
      <c r="F108">
        <v>86</v>
      </c>
      <c r="G108" t="s">
        <v>14</v>
      </c>
      <c r="H108">
        <v>60</v>
      </c>
      <c r="I108">
        <v>54</v>
      </c>
      <c r="J108">
        <v>53</v>
      </c>
      <c r="K108">
        <v>95</v>
      </c>
      <c r="L108">
        <v>82</v>
      </c>
      <c r="M108">
        <v>84</v>
      </c>
    </row>
    <row r="109" spans="1:18" x14ac:dyDescent="0.3">
      <c r="A109">
        <v>65</v>
      </c>
      <c r="B109">
        <v>68</v>
      </c>
      <c r="C109">
        <v>62</v>
      </c>
      <c r="D109">
        <v>89</v>
      </c>
      <c r="E109">
        <v>91</v>
      </c>
      <c r="F109">
        <v>78</v>
      </c>
      <c r="G109" t="s">
        <v>14</v>
      </c>
      <c r="H109">
        <v>54</v>
      </c>
      <c r="I109">
        <v>56</v>
      </c>
      <c r="J109">
        <v>51</v>
      </c>
      <c r="K109">
        <v>87</v>
      </c>
      <c r="L109">
        <v>90</v>
      </c>
      <c r="M109">
        <v>81</v>
      </c>
    </row>
    <row r="110" spans="1:18" x14ac:dyDescent="0.3">
      <c r="A110">
        <v>64</v>
      </c>
      <c r="B110">
        <v>66</v>
      </c>
      <c r="C110">
        <v>62</v>
      </c>
      <c r="D110">
        <v>80</v>
      </c>
      <c r="E110">
        <v>81</v>
      </c>
      <c r="F110">
        <v>85</v>
      </c>
      <c r="G110" t="s">
        <v>14</v>
      </c>
      <c r="H110">
        <v>59</v>
      </c>
      <c r="I110">
        <v>58</v>
      </c>
      <c r="J110">
        <v>53</v>
      </c>
      <c r="K110">
        <v>88</v>
      </c>
      <c r="L110">
        <v>78</v>
      </c>
      <c r="M110">
        <v>80</v>
      </c>
    </row>
    <row r="111" spans="1:18" x14ac:dyDescent="0.3">
      <c r="A111">
        <v>66</v>
      </c>
      <c r="B111">
        <v>66</v>
      </c>
      <c r="C111">
        <v>63</v>
      </c>
      <c r="D111">
        <v>81</v>
      </c>
      <c r="E111">
        <v>82</v>
      </c>
      <c r="F111">
        <v>84</v>
      </c>
      <c r="G111" t="s">
        <v>14</v>
      </c>
      <c r="H111">
        <v>55</v>
      </c>
      <c r="I111">
        <v>59</v>
      </c>
      <c r="J111">
        <v>53</v>
      </c>
      <c r="K111">
        <v>81</v>
      </c>
      <c r="L111">
        <v>86</v>
      </c>
      <c r="M111">
        <v>80</v>
      </c>
    </row>
    <row r="112" spans="1:18" x14ac:dyDescent="0.3">
      <c r="A112">
        <v>66</v>
      </c>
      <c r="B112">
        <v>64</v>
      </c>
      <c r="C112">
        <v>65</v>
      </c>
      <c r="D112">
        <v>89</v>
      </c>
      <c r="E112">
        <v>84</v>
      </c>
      <c r="F112">
        <v>92</v>
      </c>
      <c r="G112" t="s">
        <v>14</v>
      </c>
      <c r="H112">
        <v>58</v>
      </c>
      <c r="I112">
        <v>57</v>
      </c>
      <c r="J112">
        <v>56</v>
      </c>
      <c r="K112">
        <v>91</v>
      </c>
      <c r="L112">
        <v>86</v>
      </c>
      <c r="M112">
        <v>88</v>
      </c>
    </row>
    <row r="113" spans="1:13" x14ac:dyDescent="0.3">
      <c r="A113">
        <v>64</v>
      </c>
      <c r="B113">
        <v>65</v>
      </c>
      <c r="C113">
        <v>67</v>
      </c>
      <c r="D113">
        <v>88</v>
      </c>
      <c r="E113">
        <v>99</v>
      </c>
      <c r="F113">
        <v>90</v>
      </c>
      <c r="G113" t="s">
        <v>14</v>
      </c>
      <c r="H113">
        <v>57</v>
      </c>
      <c r="I113">
        <v>62</v>
      </c>
      <c r="J113">
        <v>59</v>
      </c>
      <c r="K113">
        <v>88</v>
      </c>
      <c r="L113">
        <v>103</v>
      </c>
      <c r="M113">
        <v>86</v>
      </c>
    </row>
    <row r="114" spans="1:13" x14ac:dyDescent="0.3">
      <c r="A114">
        <v>63</v>
      </c>
      <c r="B114">
        <v>60</v>
      </c>
      <c r="C114">
        <v>67</v>
      </c>
      <c r="D114">
        <v>89</v>
      </c>
      <c r="E114">
        <v>81</v>
      </c>
      <c r="F114">
        <v>97</v>
      </c>
      <c r="G114" t="s">
        <v>14</v>
      </c>
      <c r="H114">
        <v>56</v>
      </c>
      <c r="I114">
        <v>52</v>
      </c>
      <c r="J114">
        <v>63</v>
      </c>
      <c r="K114">
        <v>87</v>
      </c>
      <c r="L114">
        <v>81</v>
      </c>
      <c r="M114">
        <v>99</v>
      </c>
    </row>
    <row r="115" spans="1:13" x14ac:dyDescent="0.3">
      <c r="A115">
        <v>65</v>
      </c>
      <c r="B115">
        <v>63</v>
      </c>
      <c r="C115">
        <v>60</v>
      </c>
      <c r="D115">
        <v>89</v>
      </c>
      <c r="E115">
        <v>86</v>
      </c>
      <c r="F115">
        <v>86</v>
      </c>
      <c r="G115" t="s">
        <v>14</v>
      </c>
      <c r="H115">
        <v>57</v>
      </c>
      <c r="I115">
        <v>59</v>
      </c>
      <c r="J115">
        <v>53</v>
      </c>
      <c r="K115">
        <v>87</v>
      </c>
      <c r="L115">
        <v>91</v>
      </c>
      <c r="M115">
        <v>83</v>
      </c>
    </row>
    <row r="116" spans="1:13" x14ac:dyDescent="0.3">
      <c r="A116">
        <v>61</v>
      </c>
      <c r="B116">
        <v>67</v>
      </c>
      <c r="C116">
        <v>62</v>
      </c>
      <c r="D116">
        <v>85</v>
      </c>
      <c r="E116">
        <v>95</v>
      </c>
      <c r="F116">
        <v>86</v>
      </c>
      <c r="G116" t="s">
        <v>14</v>
      </c>
      <c r="H116">
        <v>60</v>
      </c>
      <c r="I116">
        <v>59</v>
      </c>
      <c r="J116">
        <v>58</v>
      </c>
      <c r="K116">
        <v>90</v>
      </c>
      <c r="L116">
        <v>88</v>
      </c>
      <c r="M116">
        <v>88</v>
      </c>
    </row>
    <row r="117" spans="1:13" x14ac:dyDescent="0.3">
      <c r="A117">
        <v>62</v>
      </c>
      <c r="B117">
        <v>67</v>
      </c>
      <c r="C117">
        <v>63</v>
      </c>
      <c r="D117">
        <v>86</v>
      </c>
      <c r="E117">
        <v>94</v>
      </c>
      <c r="F117">
        <v>82</v>
      </c>
      <c r="G117" t="s">
        <v>14</v>
      </c>
      <c r="H117">
        <v>57</v>
      </c>
      <c r="I117">
        <v>55</v>
      </c>
      <c r="J117">
        <v>58</v>
      </c>
      <c r="K117">
        <v>88</v>
      </c>
      <c r="L117">
        <v>85</v>
      </c>
      <c r="M117">
        <v>89</v>
      </c>
    </row>
    <row r="118" spans="1:13" x14ac:dyDescent="0.3">
      <c r="A118">
        <v>57</v>
      </c>
      <c r="B118">
        <v>66</v>
      </c>
      <c r="C118">
        <v>62</v>
      </c>
      <c r="D118">
        <v>87</v>
      </c>
      <c r="E118">
        <v>92</v>
      </c>
      <c r="F118">
        <v>85</v>
      </c>
      <c r="G118" t="s">
        <v>14</v>
      </c>
      <c r="H118">
        <v>58</v>
      </c>
      <c r="I118">
        <v>58</v>
      </c>
      <c r="J118">
        <v>53</v>
      </c>
      <c r="K118">
        <v>96</v>
      </c>
      <c r="L118">
        <v>86</v>
      </c>
      <c r="M118">
        <v>82</v>
      </c>
    </row>
    <row r="119" spans="1:13" x14ac:dyDescent="0.3">
      <c r="A119">
        <v>65</v>
      </c>
      <c r="B119">
        <v>65</v>
      </c>
      <c r="C119">
        <v>63</v>
      </c>
      <c r="D119">
        <v>88</v>
      </c>
      <c r="E119">
        <v>87</v>
      </c>
      <c r="F119">
        <v>80</v>
      </c>
      <c r="G119" t="s">
        <v>14</v>
      </c>
      <c r="H119">
        <v>56</v>
      </c>
      <c r="I119">
        <v>59</v>
      </c>
      <c r="J119">
        <v>53</v>
      </c>
      <c r="K119">
        <v>90</v>
      </c>
      <c r="L119">
        <v>93</v>
      </c>
      <c r="M119">
        <v>72</v>
      </c>
    </row>
    <row r="120" spans="1:13" x14ac:dyDescent="0.3">
      <c r="A120">
        <v>63</v>
      </c>
      <c r="B120">
        <v>65</v>
      </c>
      <c r="C120">
        <v>67</v>
      </c>
      <c r="D120">
        <v>83</v>
      </c>
      <c r="E120">
        <v>84</v>
      </c>
      <c r="F120">
        <v>86</v>
      </c>
      <c r="G120" t="s">
        <v>14</v>
      </c>
      <c r="H120">
        <v>59</v>
      </c>
      <c r="I120">
        <v>60</v>
      </c>
      <c r="J120">
        <v>56</v>
      </c>
      <c r="K120">
        <v>89</v>
      </c>
      <c r="L120">
        <v>83</v>
      </c>
      <c r="M120">
        <v>81</v>
      </c>
    </row>
    <row r="121" spans="1:13" x14ac:dyDescent="0.3">
      <c r="A121">
        <v>66</v>
      </c>
      <c r="B121">
        <v>63</v>
      </c>
      <c r="C121">
        <v>63</v>
      </c>
      <c r="D121">
        <v>92</v>
      </c>
      <c r="E121">
        <v>89</v>
      </c>
      <c r="F121">
        <v>89</v>
      </c>
      <c r="G121" t="s">
        <v>14</v>
      </c>
      <c r="H121">
        <v>54</v>
      </c>
      <c r="I121">
        <v>59</v>
      </c>
      <c r="J121">
        <v>53</v>
      </c>
      <c r="K121">
        <v>89</v>
      </c>
      <c r="L121">
        <v>96</v>
      </c>
      <c r="M121">
        <v>85</v>
      </c>
    </row>
    <row r="122" spans="1:13" x14ac:dyDescent="0.3">
      <c r="A122">
        <v>66</v>
      </c>
      <c r="B122">
        <v>66</v>
      </c>
      <c r="C122">
        <v>66</v>
      </c>
      <c r="D122">
        <v>90</v>
      </c>
      <c r="E122">
        <v>81</v>
      </c>
      <c r="F122">
        <v>83</v>
      </c>
      <c r="G122" t="s">
        <v>14</v>
      </c>
      <c r="H122">
        <v>55</v>
      </c>
      <c r="I122">
        <v>61</v>
      </c>
      <c r="J122">
        <v>58</v>
      </c>
      <c r="K122">
        <v>86</v>
      </c>
      <c r="L122">
        <v>86</v>
      </c>
      <c r="M122">
        <v>82</v>
      </c>
    </row>
    <row r="123" spans="1:13" x14ac:dyDescent="0.3">
      <c r="A123">
        <v>64</v>
      </c>
      <c r="B123">
        <v>65</v>
      </c>
      <c r="C123">
        <v>65</v>
      </c>
      <c r="D123">
        <v>87</v>
      </c>
      <c r="E123">
        <v>91</v>
      </c>
      <c r="F123">
        <v>92</v>
      </c>
      <c r="G123" t="s">
        <v>14</v>
      </c>
      <c r="H123">
        <v>57</v>
      </c>
      <c r="I123">
        <v>54</v>
      </c>
      <c r="J123">
        <v>60</v>
      </c>
      <c r="K123">
        <v>88</v>
      </c>
      <c r="L123">
        <v>85</v>
      </c>
      <c r="M123">
        <v>97</v>
      </c>
    </row>
    <row r="124" spans="1:13" x14ac:dyDescent="0.3">
      <c r="A124">
        <v>65</v>
      </c>
      <c r="B124">
        <v>68</v>
      </c>
      <c r="C124">
        <v>66</v>
      </c>
      <c r="D124">
        <v>94</v>
      </c>
      <c r="E124">
        <v>99</v>
      </c>
      <c r="F124">
        <v>92</v>
      </c>
      <c r="G124" t="s">
        <v>14</v>
      </c>
      <c r="H124">
        <v>54</v>
      </c>
      <c r="I124">
        <v>59</v>
      </c>
      <c r="J124">
        <v>61</v>
      </c>
      <c r="K124">
        <v>91</v>
      </c>
      <c r="L124">
        <v>96</v>
      </c>
      <c r="M124">
        <v>98</v>
      </c>
    </row>
    <row r="125" spans="1:13" x14ac:dyDescent="0.3">
      <c r="A125">
        <v>67</v>
      </c>
      <c r="B125">
        <v>65</v>
      </c>
      <c r="C125">
        <v>66</v>
      </c>
      <c r="D125">
        <v>91</v>
      </c>
      <c r="E125">
        <v>91</v>
      </c>
      <c r="F125">
        <v>88</v>
      </c>
      <c r="G125" t="s">
        <v>14</v>
      </c>
      <c r="H125">
        <v>61</v>
      </c>
      <c r="I125">
        <v>59</v>
      </c>
      <c r="J125">
        <v>57</v>
      </c>
      <c r="K125">
        <v>97</v>
      </c>
      <c r="L125">
        <v>89</v>
      </c>
      <c r="M125">
        <v>84</v>
      </c>
    </row>
    <row r="126" spans="1:13" x14ac:dyDescent="0.3">
      <c r="A126">
        <v>64</v>
      </c>
      <c r="B126">
        <v>63</v>
      </c>
      <c r="C126">
        <v>62</v>
      </c>
      <c r="D126">
        <v>92</v>
      </c>
      <c r="E126">
        <v>89</v>
      </c>
      <c r="F126">
        <v>87</v>
      </c>
      <c r="G126" t="s">
        <v>14</v>
      </c>
      <c r="H126">
        <v>53</v>
      </c>
      <c r="I126">
        <v>57</v>
      </c>
      <c r="J126">
        <v>56</v>
      </c>
      <c r="K126">
        <v>89</v>
      </c>
      <c r="L126">
        <v>93</v>
      </c>
      <c r="M126">
        <v>86</v>
      </c>
    </row>
    <row r="127" spans="1:13" x14ac:dyDescent="0.3">
      <c r="A127">
        <v>67</v>
      </c>
      <c r="B127">
        <v>67</v>
      </c>
      <c r="C127">
        <v>61</v>
      </c>
      <c r="D127">
        <v>93</v>
      </c>
      <c r="E127">
        <v>80</v>
      </c>
      <c r="F127">
        <v>83</v>
      </c>
      <c r="G127" t="s">
        <v>14</v>
      </c>
      <c r="H127">
        <v>53</v>
      </c>
      <c r="I127">
        <v>57</v>
      </c>
      <c r="J127">
        <v>59</v>
      </c>
      <c r="K127">
        <v>83</v>
      </c>
      <c r="L127">
        <v>83</v>
      </c>
      <c r="M127">
        <v>90</v>
      </c>
    </row>
    <row r="128" spans="1:13" x14ac:dyDescent="0.3">
      <c r="A128">
        <v>65</v>
      </c>
      <c r="B128">
        <v>63</v>
      </c>
      <c r="C128">
        <v>66</v>
      </c>
      <c r="D128">
        <v>84</v>
      </c>
      <c r="E128">
        <v>83</v>
      </c>
      <c r="F128">
        <v>88</v>
      </c>
      <c r="G128" t="s">
        <v>14</v>
      </c>
      <c r="H128">
        <v>62</v>
      </c>
      <c r="I128">
        <v>54</v>
      </c>
      <c r="J128">
        <v>58</v>
      </c>
      <c r="K128">
        <v>93</v>
      </c>
      <c r="L128">
        <v>77</v>
      </c>
      <c r="M128">
        <v>85</v>
      </c>
    </row>
    <row r="129" spans="1:13" x14ac:dyDescent="0.3">
      <c r="A129">
        <v>68</v>
      </c>
      <c r="B129">
        <v>59</v>
      </c>
      <c r="C129">
        <v>65</v>
      </c>
      <c r="D129">
        <v>87</v>
      </c>
      <c r="E129">
        <v>79</v>
      </c>
      <c r="F129">
        <v>93</v>
      </c>
      <c r="G129" t="s">
        <v>14</v>
      </c>
      <c r="H129">
        <v>62</v>
      </c>
      <c r="I129">
        <v>57</v>
      </c>
      <c r="J129">
        <v>56</v>
      </c>
      <c r="K129">
        <v>91</v>
      </c>
      <c r="L129">
        <v>82</v>
      </c>
      <c r="M129">
        <v>86</v>
      </c>
    </row>
    <row r="130" spans="1:13" x14ac:dyDescent="0.3">
      <c r="A130">
        <v>61</v>
      </c>
      <c r="B130">
        <v>65</v>
      </c>
      <c r="C130">
        <v>63</v>
      </c>
      <c r="D130">
        <v>86</v>
      </c>
      <c r="E130">
        <v>88</v>
      </c>
      <c r="F130">
        <v>80</v>
      </c>
      <c r="G130" t="s">
        <v>14</v>
      </c>
      <c r="H130">
        <v>56</v>
      </c>
      <c r="I130">
        <v>58</v>
      </c>
      <c r="J130">
        <v>51</v>
      </c>
      <c r="K130">
        <v>91</v>
      </c>
      <c r="L130">
        <v>91</v>
      </c>
      <c r="M130">
        <v>72</v>
      </c>
    </row>
  </sheetData>
  <mergeCells count="4">
    <mergeCell ref="A1:C1"/>
    <mergeCell ref="D1:F1"/>
    <mergeCell ref="H1:J1"/>
    <mergeCell ref="K1:M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89"/>
  <sheetViews>
    <sheetView topLeftCell="A483" workbookViewId="0">
      <selection activeCell="A490" sqref="A490:XFD496"/>
    </sheetView>
  </sheetViews>
  <sheetFormatPr defaultRowHeight="14.4" x14ac:dyDescent="0.3"/>
  <cols>
    <col min="1" max="1" width="6" style="57" customWidth="1"/>
    <col min="2" max="2" width="9.6640625" style="57" customWidth="1"/>
    <col min="3" max="3" width="11" style="1" customWidth="1"/>
    <col min="4" max="4" width="9.5546875" style="1" customWidth="1"/>
    <col min="5" max="5" width="9.88671875" style="1" customWidth="1"/>
    <col min="6" max="6" width="9.5546875" style="1" bestFit="1" customWidth="1"/>
    <col min="7" max="7" width="8.88671875" style="1" customWidth="1"/>
    <col min="8" max="8" width="9.33203125" style="1" customWidth="1"/>
    <col min="9" max="9" width="8.6640625" style="57" customWidth="1"/>
    <col min="10" max="10" width="8.88671875" style="1" customWidth="1"/>
    <col min="11" max="11" width="8.33203125" style="56" customWidth="1"/>
    <col min="16" max="16" width="9.33203125" style="56" customWidth="1"/>
  </cols>
  <sheetData>
    <row r="1" spans="1:17" ht="55.2" customHeight="1" x14ac:dyDescent="0.3">
      <c r="B1" s="39" t="s">
        <v>22</v>
      </c>
      <c r="C1" s="41" t="s">
        <v>23</v>
      </c>
      <c r="D1" s="41" t="s">
        <v>24</v>
      </c>
      <c r="E1" s="41" t="s">
        <v>25</v>
      </c>
      <c r="F1" s="41" t="s">
        <v>26</v>
      </c>
      <c r="G1" s="41" t="s">
        <v>27</v>
      </c>
      <c r="H1" s="41" t="s">
        <v>28</v>
      </c>
      <c r="I1" s="39" t="s">
        <v>29</v>
      </c>
      <c r="K1" s="38" t="s">
        <v>23</v>
      </c>
      <c r="L1" s="38" t="s">
        <v>24</v>
      </c>
      <c r="M1" s="39" t="s">
        <v>25</v>
      </c>
      <c r="N1" s="38" t="s">
        <v>26</v>
      </c>
      <c r="O1" s="38" t="s">
        <v>27</v>
      </c>
      <c r="P1" s="38" t="s">
        <v>28</v>
      </c>
      <c r="Q1" s="38" t="s">
        <v>29</v>
      </c>
    </row>
    <row r="2" spans="1:17" ht="15.75" customHeight="1" x14ac:dyDescent="0.3">
      <c r="B2" s="43">
        <f t="shared" ref="B2:I2" si="0">SUM(B4:B10)</f>
        <v>0</v>
      </c>
      <c r="C2" s="44">
        <f t="shared" si="0"/>
        <v>0</v>
      </c>
      <c r="D2" s="44">
        <f t="shared" si="0"/>
        <v>0</v>
      </c>
      <c r="E2" s="44">
        <f t="shared" si="0"/>
        <v>0</v>
      </c>
      <c r="F2" s="44">
        <f t="shared" si="0"/>
        <v>0</v>
      </c>
      <c r="G2" s="1">
        <f t="shared" si="0"/>
        <v>0</v>
      </c>
      <c r="H2" s="1">
        <f t="shared" si="0"/>
        <v>0</v>
      </c>
      <c r="I2" s="57">
        <f t="shared" si="0"/>
        <v>0</v>
      </c>
    </row>
    <row r="3" spans="1:17" s="4" customFormat="1" x14ac:dyDescent="0.3">
      <c r="A3" s="40" t="s">
        <v>13</v>
      </c>
      <c r="B3" s="45"/>
      <c r="C3" s="46" t="e">
        <f t="shared" ref="C3:I3" si="1">C2/$B$2*100</f>
        <v>#DIV/0!</v>
      </c>
      <c r="D3" s="46" t="e">
        <f t="shared" si="1"/>
        <v>#DIV/0!</v>
      </c>
      <c r="E3" s="46" t="e">
        <f t="shared" si="1"/>
        <v>#DIV/0!</v>
      </c>
      <c r="F3" s="46" t="e">
        <f t="shared" si="1"/>
        <v>#DIV/0!</v>
      </c>
      <c r="G3" s="37" t="e">
        <f t="shared" si="1"/>
        <v>#DIV/0!</v>
      </c>
      <c r="H3" s="37" t="e">
        <f t="shared" si="1"/>
        <v>#DIV/0!</v>
      </c>
      <c r="I3" s="37" t="e">
        <f t="shared" si="1"/>
        <v>#DIV/0!</v>
      </c>
      <c r="J3" s="1"/>
    </row>
    <row r="4" spans="1:17" x14ac:dyDescent="0.3">
      <c r="A4" s="57">
        <v>2</v>
      </c>
      <c r="B4" s="43">
        <f>SUMIF(A$11:A158,"="&amp;A4,B$11:B158)</f>
        <v>0</v>
      </c>
      <c r="C4" s="44">
        <f>SUMIF(A$11:A158,"="&amp;A4,C$11:C158)</f>
        <v>0</v>
      </c>
      <c r="D4" s="44">
        <f>SUMIF(A$11:A158,"="&amp;A4,D$11:D158)</f>
        <v>0</v>
      </c>
      <c r="E4" s="44">
        <f>SUMIF(A$11:A158,"="&amp;A4,E$11:E158)</f>
        <v>0</v>
      </c>
      <c r="F4" s="44">
        <f>SUMIF(A$11:A158,"="&amp;A4,F$11:F158)</f>
        <v>0</v>
      </c>
      <c r="G4" s="42">
        <f t="shared" ref="G4:G10" si="2">SUMIF(A$11:A$158,"="&amp;A4,G$11:G$158)</f>
        <v>0</v>
      </c>
      <c r="H4" s="1">
        <f t="shared" ref="H4:H10" si="3">SUMIF(A$11:A$158,"="&amp;A4,H$11:H$158)</f>
        <v>0</v>
      </c>
      <c r="I4" s="57">
        <f t="shared" ref="I4:I10" si="4">SUMIF(A$11:A$158,"="&amp;A4,I$11:I$158)</f>
        <v>0</v>
      </c>
      <c r="K4" s="63" t="e">
        <f t="shared" ref="K4:Q10" si="5">C4/$B4*100</f>
        <v>#DIV/0!</v>
      </c>
      <c r="L4" s="63" t="e">
        <f t="shared" si="5"/>
        <v>#DIV/0!</v>
      </c>
      <c r="M4" s="63" t="e">
        <f t="shared" si="5"/>
        <v>#DIV/0!</v>
      </c>
      <c r="N4" s="63" t="e">
        <f t="shared" si="5"/>
        <v>#DIV/0!</v>
      </c>
      <c r="O4" s="63" t="e">
        <f t="shared" si="5"/>
        <v>#DIV/0!</v>
      </c>
      <c r="P4" s="63" t="e">
        <f t="shared" si="5"/>
        <v>#DIV/0!</v>
      </c>
      <c r="Q4" s="63" t="e">
        <f t="shared" si="5"/>
        <v>#DIV/0!</v>
      </c>
    </row>
    <row r="5" spans="1:17" x14ac:dyDescent="0.3">
      <c r="A5" s="57">
        <v>3</v>
      </c>
      <c r="B5" s="43">
        <f>SUMIF(A$11:A158,"="&amp;A5,B$11:B158)</f>
        <v>0</v>
      </c>
      <c r="C5" s="44">
        <f>SUMIF(A$11:A158,"="&amp;A5,C$11:C158)</f>
        <v>0</v>
      </c>
      <c r="D5" s="44">
        <f>SUMIF(A$11:A158,"="&amp;A5,D$11:D158)</f>
        <v>0</v>
      </c>
      <c r="E5" s="44">
        <f>SUMIF(A$11:A158,"="&amp;A5,E$11:E158)</f>
        <v>0</v>
      </c>
      <c r="F5" s="44">
        <f>SUMIF(A$11:A158,"="&amp;A5,F$11:F158)</f>
        <v>0</v>
      </c>
      <c r="G5" s="42">
        <f t="shared" si="2"/>
        <v>0</v>
      </c>
      <c r="H5" s="1">
        <f t="shared" si="3"/>
        <v>0</v>
      </c>
      <c r="I5" s="57">
        <f t="shared" si="4"/>
        <v>0</v>
      </c>
      <c r="K5" s="63" t="e">
        <f t="shared" si="5"/>
        <v>#DIV/0!</v>
      </c>
      <c r="L5" s="63" t="e">
        <f t="shared" si="5"/>
        <v>#DIV/0!</v>
      </c>
      <c r="M5" s="63" t="e">
        <f t="shared" si="5"/>
        <v>#DIV/0!</v>
      </c>
      <c r="N5" s="63" t="e">
        <f t="shared" si="5"/>
        <v>#DIV/0!</v>
      </c>
      <c r="O5" s="63" t="e">
        <f t="shared" si="5"/>
        <v>#DIV/0!</v>
      </c>
      <c r="P5" s="63" t="e">
        <f t="shared" si="5"/>
        <v>#DIV/0!</v>
      </c>
      <c r="Q5" s="63" t="e">
        <f t="shared" si="5"/>
        <v>#DIV/0!</v>
      </c>
    </row>
    <row r="6" spans="1:17" x14ac:dyDescent="0.3">
      <c r="A6" s="57">
        <v>4</v>
      </c>
      <c r="B6" s="43">
        <f>SUMIF(A$11:A158,"="&amp;A6,B$11:B158)</f>
        <v>0</v>
      </c>
      <c r="C6" s="44">
        <f>SUMIF(A$11:A158,"="&amp;A6,C$11:C158)</f>
        <v>0</v>
      </c>
      <c r="D6" s="44">
        <f>SUMIF(A$11:A158,"="&amp;A6,D$11:D158)</f>
        <v>0</v>
      </c>
      <c r="E6" s="44">
        <f>SUMIF(A$11:A158,"="&amp;A6,E$11:E158)</f>
        <v>0</v>
      </c>
      <c r="F6" s="44">
        <f>SUMIF(A$11:A158,"="&amp;A6,F$11:F158)</f>
        <v>0</v>
      </c>
      <c r="G6" s="42">
        <f t="shared" si="2"/>
        <v>0</v>
      </c>
      <c r="H6" s="1">
        <f t="shared" si="3"/>
        <v>0</v>
      </c>
      <c r="I6" s="57">
        <f t="shared" si="4"/>
        <v>0</v>
      </c>
      <c r="K6" s="63" t="e">
        <f t="shared" si="5"/>
        <v>#DIV/0!</v>
      </c>
      <c r="L6" s="63" t="e">
        <f t="shared" si="5"/>
        <v>#DIV/0!</v>
      </c>
      <c r="M6" s="63" t="e">
        <f t="shared" si="5"/>
        <v>#DIV/0!</v>
      </c>
      <c r="N6" s="63" t="e">
        <f t="shared" si="5"/>
        <v>#DIV/0!</v>
      </c>
      <c r="O6" s="63" t="e">
        <f t="shared" si="5"/>
        <v>#DIV/0!</v>
      </c>
      <c r="P6" s="63" t="e">
        <f t="shared" si="5"/>
        <v>#DIV/0!</v>
      </c>
      <c r="Q6" s="63" t="e">
        <f t="shared" si="5"/>
        <v>#DIV/0!</v>
      </c>
    </row>
    <row r="7" spans="1:17" x14ac:dyDescent="0.3">
      <c r="A7" s="57">
        <v>5</v>
      </c>
      <c r="B7" s="43">
        <f>SUMIF(A$11:A158,"="&amp;A7,B$11:B158)</f>
        <v>0</v>
      </c>
      <c r="C7" s="44">
        <f>SUMIF(A$11:A158,"="&amp;A7,C$11:C158)</f>
        <v>0</v>
      </c>
      <c r="D7" s="44">
        <f>SUMIF(A$11:A158,"="&amp;A7,D$11:D158)</f>
        <v>0</v>
      </c>
      <c r="E7" s="44">
        <f>SUMIF(A$11:A158,"="&amp;A7,E$11:E158)</f>
        <v>0</v>
      </c>
      <c r="F7" s="44">
        <f>SUMIF(A$11:A158,"="&amp;A7,F$11:F158)</f>
        <v>0</v>
      </c>
      <c r="G7" s="42">
        <f t="shared" si="2"/>
        <v>0</v>
      </c>
      <c r="H7" s="1">
        <f t="shared" si="3"/>
        <v>0</v>
      </c>
      <c r="I7" s="57">
        <f t="shared" si="4"/>
        <v>0</v>
      </c>
      <c r="K7" s="63" t="e">
        <f t="shared" si="5"/>
        <v>#DIV/0!</v>
      </c>
      <c r="L7" s="63" t="e">
        <f t="shared" si="5"/>
        <v>#DIV/0!</v>
      </c>
      <c r="M7" s="63" t="e">
        <f t="shared" si="5"/>
        <v>#DIV/0!</v>
      </c>
      <c r="N7" s="63" t="e">
        <f t="shared" si="5"/>
        <v>#DIV/0!</v>
      </c>
      <c r="O7" s="63" t="e">
        <f t="shared" si="5"/>
        <v>#DIV/0!</v>
      </c>
      <c r="P7" s="63" t="e">
        <f t="shared" si="5"/>
        <v>#DIV/0!</v>
      </c>
      <c r="Q7" s="63" t="e">
        <f t="shared" si="5"/>
        <v>#DIV/0!</v>
      </c>
    </row>
    <row r="8" spans="1:17" x14ac:dyDescent="0.3">
      <c r="A8" s="57">
        <v>6</v>
      </c>
      <c r="B8" s="43">
        <f>SUMIF(A$11:A158,"="&amp;A8,B$11:B158)</f>
        <v>0</v>
      </c>
      <c r="C8" s="44">
        <f>SUMIF(A$11:A158,"="&amp;A8,C$11:C158)</f>
        <v>0</v>
      </c>
      <c r="D8" s="44">
        <f>SUMIF(A$11:A158,"="&amp;A8,D$11:D158)</f>
        <v>0</v>
      </c>
      <c r="E8" s="44">
        <f>SUMIF(A$11:A158,"="&amp;A8,E$11:E158)</f>
        <v>0</v>
      </c>
      <c r="F8" s="44">
        <f>SUMIF(A$11:A158,"="&amp;A8,F$11:F158)</f>
        <v>0</v>
      </c>
      <c r="G8" s="42">
        <f t="shared" si="2"/>
        <v>0</v>
      </c>
      <c r="H8" s="1">
        <f t="shared" si="3"/>
        <v>0</v>
      </c>
      <c r="I8" s="57">
        <f t="shared" si="4"/>
        <v>0</v>
      </c>
      <c r="K8" s="63" t="e">
        <f t="shared" si="5"/>
        <v>#DIV/0!</v>
      </c>
      <c r="L8" s="63" t="e">
        <f t="shared" si="5"/>
        <v>#DIV/0!</v>
      </c>
      <c r="M8" s="63" t="e">
        <f t="shared" si="5"/>
        <v>#DIV/0!</v>
      </c>
      <c r="N8" s="63" t="e">
        <f t="shared" si="5"/>
        <v>#DIV/0!</v>
      </c>
      <c r="O8" s="63" t="e">
        <f t="shared" si="5"/>
        <v>#DIV/0!</v>
      </c>
      <c r="P8" s="63" t="e">
        <f t="shared" si="5"/>
        <v>#DIV/0!</v>
      </c>
      <c r="Q8" s="63" t="e">
        <f t="shared" si="5"/>
        <v>#DIV/0!</v>
      </c>
    </row>
    <row r="9" spans="1:17" x14ac:dyDescent="0.3">
      <c r="A9" s="57">
        <v>7</v>
      </c>
      <c r="B9" s="43">
        <f>SUMIF(A$11:A158,"="&amp;A9,B$11:B158)</f>
        <v>0</v>
      </c>
      <c r="C9" s="44">
        <f>SUMIF(A$11:A158,"="&amp;A9,C$11:C158)</f>
        <v>0</v>
      </c>
      <c r="D9" s="44">
        <f>SUMIF(A$11:A158,"="&amp;A9,D$11:D158)</f>
        <v>0</v>
      </c>
      <c r="E9" s="44">
        <f>SUMIF(A$11:A158,"="&amp;A9,E$11:E158)</f>
        <v>0</v>
      </c>
      <c r="F9" s="44">
        <f>SUMIF(A$11:A158,"="&amp;A9,F$11:F158)</f>
        <v>0</v>
      </c>
      <c r="G9" s="42">
        <f t="shared" si="2"/>
        <v>0</v>
      </c>
      <c r="H9" s="1">
        <f t="shared" si="3"/>
        <v>0</v>
      </c>
      <c r="I9" s="57">
        <f t="shared" si="4"/>
        <v>0</v>
      </c>
      <c r="K9" s="9" t="e">
        <f t="shared" si="5"/>
        <v>#DIV/0!</v>
      </c>
      <c r="L9" s="63" t="e">
        <f t="shared" si="5"/>
        <v>#DIV/0!</v>
      </c>
      <c r="M9" s="63" t="e">
        <f t="shared" si="5"/>
        <v>#DIV/0!</v>
      </c>
      <c r="N9" s="63" t="e">
        <f t="shared" si="5"/>
        <v>#DIV/0!</v>
      </c>
      <c r="O9" s="63" t="e">
        <f t="shared" si="5"/>
        <v>#DIV/0!</v>
      </c>
      <c r="P9" s="63" t="e">
        <f t="shared" si="5"/>
        <v>#DIV/0!</v>
      </c>
      <c r="Q9" s="63" t="e">
        <f t="shared" si="5"/>
        <v>#DIV/0!</v>
      </c>
    </row>
    <row r="10" spans="1:17" s="4" customFormat="1" x14ac:dyDescent="0.3">
      <c r="A10" s="7">
        <v>8</v>
      </c>
      <c r="B10" s="43">
        <f>SUMIF(A$11:A158,"="&amp;A10,B$11:B158)</f>
        <v>0</v>
      </c>
      <c r="C10" s="44">
        <f>SUMIF(A$11:A158,"="&amp;A10,C$11:C158)</f>
        <v>0</v>
      </c>
      <c r="D10" s="44">
        <f>SUMIF(A$11:A158,"="&amp;A10,D$11:D158)</f>
        <v>0</v>
      </c>
      <c r="E10" s="44">
        <f>SUMIF(A$11:A158,"="&amp;A10,E$11:E158)</f>
        <v>0</v>
      </c>
      <c r="F10" s="44">
        <f>SUMIF(A$11:A158,"="&amp;A10,F$11:F158)</f>
        <v>0</v>
      </c>
      <c r="G10" s="24">
        <f t="shared" si="2"/>
        <v>0</v>
      </c>
      <c r="H10" s="36">
        <f t="shared" si="3"/>
        <v>0</v>
      </c>
      <c r="I10" s="7">
        <f t="shared" si="4"/>
        <v>0</v>
      </c>
      <c r="J10" s="1"/>
      <c r="K10" s="29" t="e">
        <f t="shared" si="5"/>
        <v>#DIV/0!</v>
      </c>
      <c r="L10" s="11" t="e">
        <f t="shared" si="5"/>
        <v>#DIV/0!</v>
      </c>
      <c r="M10" s="11" t="e">
        <f t="shared" si="5"/>
        <v>#DIV/0!</v>
      </c>
      <c r="N10" s="11" t="e">
        <f t="shared" si="5"/>
        <v>#DIV/0!</v>
      </c>
      <c r="O10" s="11" t="e">
        <f t="shared" si="5"/>
        <v>#DIV/0!</v>
      </c>
      <c r="P10" s="11" t="e">
        <f t="shared" si="5"/>
        <v>#DIV/0!</v>
      </c>
      <c r="Q10" s="11" t="e">
        <f t="shared" si="5"/>
        <v>#DIV/0!</v>
      </c>
    </row>
    <row r="182" spans="1:9" x14ac:dyDescent="0.3">
      <c r="A182">
        <v>2</v>
      </c>
      <c r="B182">
        <v>5</v>
      </c>
      <c r="C182">
        <v>2</v>
      </c>
      <c r="D182">
        <v>0</v>
      </c>
      <c r="E182">
        <v>2</v>
      </c>
      <c r="F182">
        <v>3</v>
      </c>
      <c r="G182">
        <v>2</v>
      </c>
      <c r="H182">
        <v>0</v>
      </c>
      <c r="I182">
        <v>2</v>
      </c>
    </row>
    <row r="183" spans="1:9" x14ac:dyDescent="0.3">
      <c r="A183">
        <v>3</v>
      </c>
      <c r="B183">
        <v>38</v>
      </c>
      <c r="C183">
        <v>20</v>
      </c>
      <c r="D183">
        <v>0</v>
      </c>
      <c r="E183">
        <v>20</v>
      </c>
      <c r="F183">
        <v>18</v>
      </c>
      <c r="G183">
        <v>16</v>
      </c>
      <c r="H183">
        <v>0</v>
      </c>
      <c r="I183">
        <v>16</v>
      </c>
    </row>
    <row r="184" spans="1:9" x14ac:dyDescent="0.3">
      <c r="A184">
        <v>4</v>
      </c>
      <c r="B184">
        <v>12</v>
      </c>
      <c r="C184">
        <v>4</v>
      </c>
      <c r="D184">
        <v>0</v>
      </c>
      <c r="E184">
        <v>4</v>
      </c>
      <c r="F184">
        <v>8</v>
      </c>
      <c r="G184">
        <v>4</v>
      </c>
      <c r="H184">
        <v>0</v>
      </c>
      <c r="I184">
        <v>4</v>
      </c>
    </row>
    <row r="185" spans="1:9" x14ac:dyDescent="0.3">
      <c r="A185">
        <v>5</v>
      </c>
      <c r="B185">
        <v>6</v>
      </c>
      <c r="C185">
        <v>3</v>
      </c>
      <c r="D185">
        <v>0</v>
      </c>
      <c r="E185">
        <v>3</v>
      </c>
      <c r="F185">
        <v>3</v>
      </c>
      <c r="G185">
        <v>3</v>
      </c>
      <c r="H185">
        <v>0</v>
      </c>
      <c r="I185">
        <v>3</v>
      </c>
    </row>
    <row r="186" spans="1:9" x14ac:dyDescent="0.3">
      <c r="A186">
        <v>6</v>
      </c>
      <c r="B186">
        <v>6</v>
      </c>
      <c r="C186">
        <v>0</v>
      </c>
      <c r="D186">
        <v>0</v>
      </c>
      <c r="E186">
        <v>0</v>
      </c>
      <c r="F186">
        <v>6</v>
      </c>
      <c r="G186">
        <v>0</v>
      </c>
      <c r="H186">
        <v>0</v>
      </c>
      <c r="I186">
        <v>0</v>
      </c>
    </row>
    <row r="187" spans="1:9" x14ac:dyDescent="0.3">
      <c r="A187">
        <v>7</v>
      </c>
      <c r="B187">
        <v>1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</row>
    <row r="188" spans="1:9" x14ac:dyDescent="0.3">
      <c r="A188">
        <v>8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0</v>
      </c>
    </row>
    <row r="189" spans="1:9" x14ac:dyDescent="0.3">
      <c r="A189">
        <v>2</v>
      </c>
      <c r="B189">
        <v>2</v>
      </c>
      <c r="C189">
        <v>2</v>
      </c>
      <c r="D189">
        <v>0</v>
      </c>
      <c r="E189">
        <v>2</v>
      </c>
      <c r="F189">
        <v>0</v>
      </c>
      <c r="G189">
        <v>2</v>
      </c>
      <c r="H189">
        <v>0</v>
      </c>
      <c r="I189">
        <v>2</v>
      </c>
    </row>
    <row r="190" spans="1:9" x14ac:dyDescent="0.3">
      <c r="A190">
        <v>3</v>
      </c>
      <c r="B190">
        <v>40</v>
      </c>
      <c r="C190">
        <v>23</v>
      </c>
      <c r="D190">
        <v>0</v>
      </c>
      <c r="E190">
        <v>23</v>
      </c>
      <c r="F190">
        <v>17</v>
      </c>
      <c r="G190">
        <v>14</v>
      </c>
      <c r="H190">
        <v>0</v>
      </c>
      <c r="I190">
        <v>14</v>
      </c>
    </row>
    <row r="191" spans="1:9" x14ac:dyDescent="0.3">
      <c r="A191">
        <v>4</v>
      </c>
      <c r="B191">
        <v>15</v>
      </c>
      <c r="C191">
        <v>7</v>
      </c>
      <c r="D191">
        <v>0</v>
      </c>
      <c r="E191">
        <v>7</v>
      </c>
      <c r="F191">
        <v>8</v>
      </c>
      <c r="G191">
        <v>7</v>
      </c>
      <c r="H191">
        <v>0</v>
      </c>
      <c r="I191">
        <v>7</v>
      </c>
    </row>
    <row r="192" spans="1:9" x14ac:dyDescent="0.3">
      <c r="A192">
        <v>5</v>
      </c>
      <c r="B192">
        <v>3</v>
      </c>
      <c r="C192">
        <v>1</v>
      </c>
      <c r="D192">
        <v>0</v>
      </c>
      <c r="E192">
        <v>1</v>
      </c>
      <c r="F192">
        <v>2</v>
      </c>
      <c r="G192">
        <v>1</v>
      </c>
      <c r="H192">
        <v>0</v>
      </c>
      <c r="I192">
        <v>1</v>
      </c>
    </row>
    <row r="193" spans="1:10" x14ac:dyDescent="0.3">
      <c r="A193">
        <v>6</v>
      </c>
      <c r="B193">
        <v>5</v>
      </c>
      <c r="C193">
        <v>0</v>
      </c>
      <c r="D193">
        <v>0</v>
      </c>
      <c r="E193">
        <v>0</v>
      </c>
      <c r="F193">
        <v>5</v>
      </c>
      <c r="G193">
        <v>0</v>
      </c>
      <c r="H193">
        <v>0</v>
      </c>
      <c r="I193">
        <v>0</v>
      </c>
    </row>
    <row r="194" spans="1:10" x14ac:dyDescent="0.3">
      <c r="A194">
        <v>7</v>
      </c>
      <c r="B194">
        <v>3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10" x14ac:dyDescent="0.3">
      <c r="A195">
        <v>8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0</v>
      </c>
    </row>
    <row r="196" spans="1:10" x14ac:dyDescent="0.3">
      <c r="A196">
        <v>2</v>
      </c>
      <c r="B196">
        <v>3</v>
      </c>
      <c r="C196">
        <v>0</v>
      </c>
      <c r="D196">
        <v>0</v>
      </c>
      <c r="E196">
        <v>0</v>
      </c>
      <c r="F196">
        <v>3</v>
      </c>
      <c r="G196">
        <v>0</v>
      </c>
      <c r="H196">
        <v>0</v>
      </c>
      <c r="I196">
        <v>0</v>
      </c>
    </row>
    <row r="197" spans="1:10" x14ac:dyDescent="0.3">
      <c r="A197">
        <v>3</v>
      </c>
      <c r="B197">
        <v>43</v>
      </c>
      <c r="C197">
        <v>23</v>
      </c>
      <c r="D197">
        <v>0</v>
      </c>
      <c r="E197">
        <v>23</v>
      </c>
      <c r="F197">
        <v>20</v>
      </c>
      <c r="G197">
        <v>15</v>
      </c>
      <c r="H197">
        <v>0</v>
      </c>
      <c r="I197">
        <v>15</v>
      </c>
    </row>
    <row r="198" spans="1:10" x14ac:dyDescent="0.3">
      <c r="A198">
        <v>4</v>
      </c>
      <c r="B198">
        <v>13</v>
      </c>
      <c r="C198">
        <v>8</v>
      </c>
      <c r="D198">
        <v>0</v>
      </c>
      <c r="E198">
        <v>8</v>
      </c>
      <c r="F198">
        <v>5</v>
      </c>
      <c r="G198">
        <v>8</v>
      </c>
      <c r="H198">
        <v>0</v>
      </c>
      <c r="I198">
        <v>8</v>
      </c>
    </row>
    <row r="199" spans="1:10" x14ac:dyDescent="0.3">
      <c r="A199">
        <v>5</v>
      </c>
      <c r="B199">
        <v>3</v>
      </c>
      <c r="C199">
        <v>2</v>
      </c>
      <c r="D199">
        <v>0</v>
      </c>
      <c r="E199">
        <v>2</v>
      </c>
      <c r="F199">
        <v>1</v>
      </c>
      <c r="G199">
        <v>2</v>
      </c>
      <c r="H199">
        <v>0</v>
      </c>
      <c r="I199">
        <v>2</v>
      </c>
    </row>
    <row r="200" spans="1:10" x14ac:dyDescent="0.3">
      <c r="A200">
        <v>6</v>
      </c>
      <c r="B200">
        <v>5</v>
      </c>
      <c r="C200">
        <v>0</v>
      </c>
      <c r="D200">
        <v>0</v>
      </c>
      <c r="E200">
        <v>0</v>
      </c>
      <c r="F200">
        <v>5</v>
      </c>
      <c r="G200">
        <v>0</v>
      </c>
      <c r="H200">
        <v>0</v>
      </c>
      <c r="I200">
        <v>0</v>
      </c>
    </row>
    <row r="201" spans="1:10" x14ac:dyDescent="0.3">
      <c r="A201">
        <v>7</v>
      </c>
      <c r="B201">
        <v>1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</row>
    <row r="202" spans="1:10" x14ac:dyDescent="0.3">
      <c r="A202">
        <v>8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0</v>
      </c>
      <c r="I202">
        <v>0</v>
      </c>
    </row>
    <row r="203" spans="1:10" x14ac:dyDescent="0.3">
      <c r="A203">
        <v>2</v>
      </c>
      <c r="B203">
        <v>4</v>
      </c>
      <c r="C203">
        <v>1</v>
      </c>
      <c r="D203">
        <v>0</v>
      </c>
      <c r="E203">
        <v>1</v>
      </c>
      <c r="F203">
        <v>3</v>
      </c>
      <c r="G203">
        <v>1</v>
      </c>
      <c r="H203">
        <v>0</v>
      </c>
      <c r="I203">
        <v>1</v>
      </c>
    </row>
    <row r="204" spans="1:10" x14ac:dyDescent="0.3">
      <c r="A204">
        <v>3</v>
      </c>
      <c r="B204">
        <v>49</v>
      </c>
      <c r="C204">
        <v>25</v>
      </c>
      <c r="D204">
        <v>0</v>
      </c>
      <c r="E204">
        <v>25</v>
      </c>
      <c r="F204">
        <v>24</v>
      </c>
      <c r="G204">
        <v>18</v>
      </c>
      <c r="H204">
        <v>0</v>
      </c>
      <c r="I204">
        <v>18</v>
      </c>
    </row>
    <row r="205" spans="1:10" x14ac:dyDescent="0.3">
      <c r="A205">
        <v>4</v>
      </c>
      <c r="B205">
        <v>7</v>
      </c>
      <c r="C205">
        <v>2</v>
      </c>
      <c r="D205">
        <v>0</v>
      </c>
      <c r="E205">
        <v>2</v>
      </c>
      <c r="F205">
        <v>5</v>
      </c>
      <c r="G205">
        <v>2</v>
      </c>
      <c r="H205">
        <v>0</v>
      </c>
      <c r="I205">
        <v>2</v>
      </c>
    </row>
    <row r="206" spans="1:10" x14ac:dyDescent="0.3">
      <c r="A206">
        <v>5</v>
      </c>
      <c r="B206">
        <v>5</v>
      </c>
      <c r="C206">
        <v>1</v>
      </c>
      <c r="D206">
        <v>0</v>
      </c>
      <c r="E206">
        <v>1</v>
      </c>
      <c r="F206">
        <v>4</v>
      </c>
      <c r="G206">
        <v>1</v>
      </c>
      <c r="H206">
        <v>0</v>
      </c>
      <c r="I206">
        <v>1</v>
      </c>
    </row>
    <row r="207" spans="1:10" x14ac:dyDescent="0.3">
      <c r="A207">
        <v>6</v>
      </c>
      <c r="B207">
        <v>3</v>
      </c>
      <c r="C207">
        <v>0</v>
      </c>
      <c r="D207">
        <v>0</v>
      </c>
      <c r="E207">
        <v>0</v>
      </c>
      <c r="F207">
        <v>3</v>
      </c>
      <c r="G207">
        <v>0</v>
      </c>
      <c r="H207">
        <v>0</v>
      </c>
      <c r="I207">
        <v>0</v>
      </c>
    </row>
    <row r="208" spans="1:10" s="52" customFormat="1" x14ac:dyDescent="0.3">
      <c r="A208" s="52">
        <v>7</v>
      </c>
      <c r="B208" s="52">
        <v>2</v>
      </c>
      <c r="C208" s="52">
        <v>0</v>
      </c>
      <c r="D208" s="52">
        <v>0</v>
      </c>
      <c r="E208" s="52">
        <v>0</v>
      </c>
      <c r="F208" s="52">
        <v>2</v>
      </c>
      <c r="G208" s="52">
        <v>0</v>
      </c>
      <c r="H208" s="52">
        <v>0</v>
      </c>
      <c r="I208" s="52">
        <v>0</v>
      </c>
      <c r="J208" s="54"/>
    </row>
    <row r="209" spans="1:9" x14ac:dyDescent="0.3">
      <c r="A209">
        <v>2</v>
      </c>
      <c r="B209">
        <v>3</v>
      </c>
      <c r="C209">
        <v>3</v>
      </c>
      <c r="D209">
        <v>0</v>
      </c>
      <c r="E209">
        <v>3</v>
      </c>
      <c r="F209">
        <v>0</v>
      </c>
      <c r="G209">
        <v>3</v>
      </c>
      <c r="H209">
        <v>0</v>
      </c>
      <c r="I209">
        <v>3</v>
      </c>
    </row>
    <row r="210" spans="1:9" x14ac:dyDescent="0.3">
      <c r="A210">
        <v>3</v>
      </c>
      <c r="B210">
        <v>38</v>
      </c>
      <c r="C210">
        <v>18</v>
      </c>
      <c r="D210">
        <v>0</v>
      </c>
      <c r="E210">
        <v>18</v>
      </c>
      <c r="F210">
        <v>20</v>
      </c>
      <c r="G210">
        <v>11</v>
      </c>
      <c r="H210">
        <v>0</v>
      </c>
      <c r="I210">
        <v>11</v>
      </c>
    </row>
    <row r="211" spans="1:9" x14ac:dyDescent="0.3">
      <c r="A211">
        <v>4</v>
      </c>
      <c r="B211">
        <v>15</v>
      </c>
      <c r="C211">
        <v>7</v>
      </c>
      <c r="D211">
        <v>0</v>
      </c>
      <c r="E211">
        <v>7</v>
      </c>
      <c r="F211">
        <v>8</v>
      </c>
      <c r="G211">
        <v>7</v>
      </c>
      <c r="H211">
        <v>0</v>
      </c>
      <c r="I211">
        <v>7</v>
      </c>
    </row>
    <row r="212" spans="1:9" x14ac:dyDescent="0.3">
      <c r="A212">
        <v>5</v>
      </c>
      <c r="B212">
        <v>4</v>
      </c>
      <c r="C212">
        <v>2</v>
      </c>
      <c r="D212">
        <v>0</v>
      </c>
      <c r="E212">
        <v>2</v>
      </c>
      <c r="F212">
        <v>2</v>
      </c>
      <c r="G212">
        <v>2</v>
      </c>
      <c r="H212">
        <v>0</v>
      </c>
      <c r="I212">
        <v>2</v>
      </c>
    </row>
    <row r="213" spans="1:9" x14ac:dyDescent="0.3">
      <c r="A213">
        <v>6</v>
      </c>
      <c r="B213">
        <v>4</v>
      </c>
      <c r="C213">
        <v>0</v>
      </c>
      <c r="D213">
        <v>0</v>
      </c>
      <c r="E213">
        <v>0</v>
      </c>
      <c r="F213">
        <v>4</v>
      </c>
      <c r="G213">
        <v>0</v>
      </c>
      <c r="H213">
        <v>0</v>
      </c>
      <c r="I213">
        <v>0</v>
      </c>
    </row>
    <row r="214" spans="1:9" x14ac:dyDescent="0.3">
      <c r="A214">
        <v>7</v>
      </c>
      <c r="B214">
        <v>4</v>
      </c>
      <c r="C214">
        <v>0</v>
      </c>
      <c r="D214">
        <v>0</v>
      </c>
      <c r="E214">
        <v>0</v>
      </c>
      <c r="F214">
        <v>4</v>
      </c>
      <c r="G214">
        <v>0</v>
      </c>
      <c r="H214">
        <v>0</v>
      </c>
      <c r="I214">
        <v>0</v>
      </c>
    </row>
    <row r="215" spans="1:9" x14ac:dyDescent="0.3">
      <c r="A215">
        <v>8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0</v>
      </c>
      <c r="H215">
        <v>0</v>
      </c>
      <c r="I215">
        <v>0</v>
      </c>
    </row>
    <row r="216" spans="1:9" x14ac:dyDescent="0.3">
      <c r="A216">
        <v>2</v>
      </c>
      <c r="B216">
        <v>4</v>
      </c>
      <c r="C216">
        <v>2</v>
      </c>
      <c r="D216">
        <v>0</v>
      </c>
      <c r="E216">
        <v>2</v>
      </c>
      <c r="F216">
        <v>2</v>
      </c>
      <c r="G216">
        <v>2</v>
      </c>
      <c r="H216">
        <v>0</v>
      </c>
      <c r="I216">
        <v>2</v>
      </c>
    </row>
    <row r="217" spans="1:9" x14ac:dyDescent="0.3">
      <c r="A217">
        <v>3</v>
      </c>
      <c r="B217">
        <v>43</v>
      </c>
      <c r="C217">
        <v>21</v>
      </c>
      <c r="D217">
        <v>0</v>
      </c>
      <c r="E217">
        <v>21</v>
      </c>
      <c r="F217">
        <v>22</v>
      </c>
      <c r="G217">
        <v>16</v>
      </c>
      <c r="H217">
        <v>0</v>
      </c>
      <c r="I217">
        <v>16</v>
      </c>
    </row>
    <row r="218" spans="1:9" x14ac:dyDescent="0.3">
      <c r="A218">
        <v>4</v>
      </c>
      <c r="B218">
        <v>6</v>
      </c>
      <c r="C218">
        <v>2</v>
      </c>
      <c r="D218">
        <v>0</v>
      </c>
      <c r="E218">
        <v>2</v>
      </c>
      <c r="F218">
        <v>4</v>
      </c>
      <c r="G218">
        <v>2</v>
      </c>
      <c r="H218">
        <v>0</v>
      </c>
      <c r="I218">
        <v>2</v>
      </c>
    </row>
    <row r="219" spans="1:9" x14ac:dyDescent="0.3">
      <c r="A219">
        <v>5</v>
      </c>
      <c r="B219">
        <v>11</v>
      </c>
      <c r="C219">
        <v>5</v>
      </c>
      <c r="D219">
        <v>0</v>
      </c>
      <c r="E219">
        <v>5</v>
      </c>
      <c r="F219">
        <v>6</v>
      </c>
      <c r="G219">
        <v>5</v>
      </c>
      <c r="H219">
        <v>0</v>
      </c>
      <c r="I219">
        <v>5</v>
      </c>
    </row>
    <row r="220" spans="1:9" x14ac:dyDescent="0.3">
      <c r="A220">
        <v>6</v>
      </c>
      <c r="B220">
        <v>4</v>
      </c>
      <c r="C220">
        <v>0</v>
      </c>
      <c r="D220">
        <v>0</v>
      </c>
      <c r="E220">
        <v>0</v>
      </c>
      <c r="F220">
        <v>4</v>
      </c>
      <c r="G220">
        <v>0</v>
      </c>
      <c r="H220">
        <v>0</v>
      </c>
      <c r="I220">
        <v>0</v>
      </c>
    </row>
    <row r="221" spans="1:9" x14ac:dyDescent="0.3">
      <c r="A221">
        <v>8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0</v>
      </c>
      <c r="H221">
        <v>0</v>
      </c>
      <c r="I221">
        <v>0</v>
      </c>
    </row>
    <row r="222" spans="1:9" x14ac:dyDescent="0.3">
      <c r="A222">
        <v>2</v>
      </c>
      <c r="B222">
        <v>8</v>
      </c>
      <c r="C222">
        <v>5</v>
      </c>
      <c r="D222">
        <v>0</v>
      </c>
      <c r="E222">
        <v>5</v>
      </c>
      <c r="F222">
        <v>3</v>
      </c>
      <c r="G222">
        <v>5</v>
      </c>
      <c r="H222">
        <v>0</v>
      </c>
      <c r="I222">
        <v>5</v>
      </c>
    </row>
    <row r="223" spans="1:9" x14ac:dyDescent="0.3">
      <c r="A223">
        <v>3</v>
      </c>
      <c r="B223">
        <v>43</v>
      </c>
      <c r="C223">
        <v>15</v>
      </c>
      <c r="D223">
        <v>0</v>
      </c>
      <c r="E223">
        <v>15</v>
      </c>
      <c r="F223">
        <v>28</v>
      </c>
      <c r="G223">
        <v>12</v>
      </c>
      <c r="H223">
        <v>0</v>
      </c>
      <c r="I223">
        <v>12</v>
      </c>
    </row>
    <row r="224" spans="1:9" x14ac:dyDescent="0.3">
      <c r="A224">
        <v>4</v>
      </c>
      <c r="B224">
        <v>8</v>
      </c>
      <c r="C224">
        <v>2</v>
      </c>
      <c r="D224">
        <v>0</v>
      </c>
      <c r="E224">
        <v>2</v>
      </c>
      <c r="F224">
        <v>6</v>
      </c>
      <c r="G224">
        <v>2</v>
      </c>
      <c r="H224">
        <v>0</v>
      </c>
      <c r="I224">
        <v>2</v>
      </c>
    </row>
    <row r="225" spans="1:9" x14ac:dyDescent="0.3">
      <c r="A225">
        <v>5</v>
      </c>
      <c r="B225">
        <v>1</v>
      </c>
      <c r="C225">
        <v>1</v>
      </c>
      <c r="D225">
        <v>0</v>
      </c>
      <c r="E225">
        <v>1</v>
      </c>
      <c r="F225">
        <v>0</v>
      </c>
      <c r="G225">
        <v>1</v>
      </c>
      <c r="H225">
        <v>0</v>
      </c>
      <c r="I225">
        <v>1</v>
      </c>
    </row>
    <row r="226" spans="1:9" x14ac:dyDescent="0.3">
      <c r="A226">
        <v>6</v>
      </c>
      <c r="B226">
        <v>6</v>
      </c>
      <c r="C226">
        <v>0</v>
      </c>
      <c r="D226">
        <v>0</v>
      </c>
      <c r="E226">
        <v>0</v>
      </c>
      <c r="F226">
        <v>6</v>
      </c>
      <c r="G226">
        <v>0</v>
      </c>
      <c r="H226">
        <v>0</v>
      </c>
      <c r="I226">
        <v>0</v>
      </c>
    </row>
    <row r="227" spans="1:9" x14ac:dyDescent="0.3">
      <c r="A227">
        <v>7</v>
      </c>
      <c r="B227">
        <v>4</v>
      </c>
      <c r="C227">
        <v>0</v>
      </c>
      <c r="D227">
        <v>0</v>
      </c>
      <c r="E227">
        <v>0</v>
      </c>
      <c r="F227">
        <v>4</v>
      </c>
      <c r="G227">
        <v>0</v>
      </c>
      <c r="H227">
        <v>0</v>
      </c>
      <c r="I227">
        <v>0</v>
      </c>
    </row>
    <row r="228" spans="1:9" x14ac:dyDescent="0.3">
      <c r="A228">
        <v>2</v>
      </c>
      <c r="B228">
        <v>4</v>
      </c>
      <c r="C228">
        <v>4</v>
      </c>
      <c r="D228">
        <v>0</v>
      </c>
      <c r="E228">
        <v>4</v>
      </c>
      <c r="F228">
        <v>0</v>
      </c>
      <c r="G228">
        <v>4</v>
      </c>
      <c r="H228">
        <v>0</v>
      </c>
      <c r="I228">
        <v>4</v>
      </c>
    </row>
    <row r="229" spans="1:9" x14ac:dyDescent="0.3">
      <c r="A229">
        <v>3</v>
      </c>
      <c r="B229">
        <v>43</v>
      </c>
      <c r="C229">
        <v>23</v>
      </c>
      <c r="D229">
        <v>0</v>
      </c>
      <c r="E229">
        <v>23</v>
      </c>
      <c r="F229">
        <v>20</v>
      </c>
      <c r="G229">
        <v>16</v>
      </c>
      <c r="H229">
        <v>0</v>
      </c>
      <c r="I229">
        <v>16</v>
      </c>
    </row>
    <row r="230" spans="1:9" x14ac:dyDescent="0.3">
      <c r="A230">
        <v>4</v>
      </c>
      <c r="B230">
        <v>9</v>
      </c>
      <c r="C230">
        <v>5</v>
      </c>
      <c r="D230">
        <v>0</v>
      </c>
      <c r="E230">
        <v>5</v>
      </c>
      <c r="F230">
        <v>4</v>
      </c>
      <c r="G230">
        <v>5</v>
      </c>
      <c r="H230">
        <v>0</v>
      </c>
      <c r="I230">
        <v>5</v>
      </c>
    </row>
    <row r="231" spans="1:9" x14ac:dyDescent="0.3">
      <c r="A231">
        <v>5</v>
      </c>
      <c r="B231">
        <v>7</v>
      </c>
      <c r="C231">
        <v>2</v>
      </c>
      <c r="D231">
        <v>0</v>
      </c>
      <c r="E231">
        <v>2</v>
      </c>
      <c r="F231">
        <v>5</v>
      </c>
      <c r="G231">
        <v>2</v>
      </c>
      <c r="H231">
        <v>0</v>
      </c>
      <c r="I231">
        <v>2</v>
      </c>
    </row>
    <row r="232" spans="1:9" x14ac:dyDescent="0.3">
      <c r="A232">
        <v>6</v>
      </c>
      <c r="B232">
        <v>4</v>
      </c>
      <c r="C232">
        <v>0</v>
      </c>
      <c r="D232">
        <v>0</v>
      </c>
      <c r="E232">
        <v>0</v>
      </c>
      <c r="F232">
        <v>4</v>
      </c>
      <c r="G232">
        <v>0</v>
      </c>
      <c r="H232">
        <v>0</v>
      </c>
      <c r="I232">
        <v>0</v>
      </c>
    </row>
    <row r="233" spans="1:9" x14ac:dyDescent="0.3">
      <c r="A233">
        <v>7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</row>
    <row r="234" spans="1:9" x14ac:dyDescent="0.3">
      <c r="A234">
        <v>8</v>
      </c>
      <c r="B234">
        <v>1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</row>
    <row r="235" spans="1:9" x14ac:dyDescent="0.3">
      <c r="A235">
        <v>2</v>
      </c>
      <c r="B235">
        <v>7</v>
      </c>
      <c r="C235">
        <v>2</v>
      </c>
      <c r="D235">
        <v>0</v>
      </c>
      <c r="E235">
        <v>2</v>
      </c>
      <c r="F235">
        <v>5</v>
      </c>
      <c r="G235">
        <v>2</v>
      </c>
      <c r="H235">
        <v>0</v>
      </c>
      <c r="I235">
        <v>2</v>
      </c>
    </row>
    <row r="236" spans="1:9" x14ac:dyDescent="0.3">
      <c r="A236">
        <v>3</v>
      </c>
      <c r="B236">
        <v>40</v>
      </c>
      <c r="C236">
        <v>21</v>
      </c>
      <c r="D236">
        <v>0</v>
      </c>
      <c r="E236">
        <v>21</v>
      </c>
      <c r="F236">
        <v>19</v>
      </c>
      <c r="G236">
        <v>15</v>
      </c>
      <c r="H236">
        <v>0</v>
      </c>
      <c r="I236">
        <v>15</v>
      </c>
    </row>
    <row r="237" spans="1:9" x14ac:dyDescent="0.3">
      <c r="A237">
        <v>4</v>
      </c>
      <c r="B237">
        <v>8</v>
      </c>
      <c r="C237">
        <v>3</v>
      </c>
      <c r="D237">
        <v>0</v>
      </c>
      <c r="E237">
        <v>3</v>
      </c>
      <c r="F237">
        <v>5</v>
      </c>
      <c r="G237">
        <v>3</v>
      </c>
      <c r="H237">
        <v>0</v>
      </c>
      <c r="I237">
        <v>3</v>
      </c>
    </row>
    <row r="238" spans="1:9" x14ac:dyDescent="0.3">
      <c r="A238">
        <v>5</v>
      </c>
      <c r="B238">
        <v>4</v>
      </c>
      <c r="C238">
        <v>2</v>
      </c>
      <c r="D238">
        <v>0</v>
      </c>
      <c r="E238">
        <v>2</v>
      </c>
      <c r="F238">
        <v>2</v>
      </c>
      <c r="G238">
        <v>2</v>
      </c>
      <c r="H238">
        <v>0</v>
      </c>
      <c r="I238">
        <v>2</v>
      </c>
    </row>
    <row r="239" spans="1:9" x14ac:dyDescent="0.3">
      <c r="A239">
        <v>6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</row>
    <row r="240" spans="1:9" x14ac:dyDescent="0.3">
      <c r="A240">
        <v>7</v>
      </c>
      <c r="B240">
        <v>7</v>
      </c>
      <c r="C240">
        <v>0</v>
      </c>
      <c r="D240">
        <v>0</v>
      </c>
      <c r="E240">
        <v>0</v>
      </c>
      <c r="F240">
        <v>7</v>
      </c>
      <c r="G240">
        <v>0</v>
      </c>
      <c r="H240">
        <v>0</v>
      </c>
      <c r="I240">
        <v>0</v>
      </c>
    </row>
    <row r="241" spans="1:9" x14ac:dyDescent="0.3">
      <c r="A241">
        <v>8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0</v>
      </c>
      <c r="I241">
        <v>0</v>
      </c>
    </row>
    <row r="242" spans="1:9" x14ac:dyDescent="0.3">
      <c r="A242">
        <v>2</v>
      </c>
      <c r="B242">
        <v>6</v>
      </c>
      <c r="C242">
        <v>3</v>
      </c>
      <c r="D242">
        <v>0</v>
      </c>
      <c r="E242">
        <v>3</v>
      </c>
      <c r="F242">
        <v>3</v>
      </c>
      <c r="G242">
        <v>3</v>
      </c>
      <c r="H242">
        <v>0</v>
      </c>
      <c r="I242">
        <v>3</v>
      </c>
    </row>
    <row r="243" spans="1:9" x14ac:dyDescent="0.3">
      <c r="A243">
        <v>3</v>
      </c>
      <c r="B243">
        <v>41</v>
      </c>
      <c r="C243">
        <v>24</v>
      </c>
      <c r="D243">
        <v>0</v>
      </c>
      <c r="E243">
        <v>24</v>
      </c>
      <c r="F243">
        <v>17</v>
      </c>
      <c r="G243">
        <v>18</v>
      </c>
      <c r="H243">
        <v>0</v>
      </c>
      <c r="I243">
        <v>18</v>
      </c>
    </row>
    <row r="244" spans="1:9" x14ac:dyDescent="0.3">
      <c r="A244">
        <v>4</v>
      </c>
      <c r="B244">
        <v>10</v>
      </c>
      <c r="C244">
        <v>4</v>
      </c>
      <c r="D244">
        <v>0</v>
      </c>
      <c r="E244">
        <v>4</v>
      </c>
      <c r="F244">
        <v>6</v>
      </c>
      <c r="G244">
        <v>4</v>
      </c>
      <c r="H244">
        <v>0</v>
      </c>
      <c r="I244">
        <v>4</v>
      </c>
    </row>
    <row r="245" spans="1:9" x14ac:dyDescent="0.3">
      <c r="A245">
        <v>5</v>
      </c>
      <c r="B245">
        <v>6</v>
      </c>
      <c r="C245">
        <v>6</v>
      </c>
      <c r="D245">
        <v>0</v>
      </c>
      <c r="E245">
        <v>6</v>
      </c>
      <c r="F245">
        <v>0</v>
      </c>
      <c r="G245">
        <v>6</v>
      </c>
      <c r="H245">
        <v>0</v>
      </c>
      <c r="I245">
        <v>6</v>
      </c>
    </row>
    <row r="246" spans="1:9" x14ac:dyDescent="0.3">
      <c r="A246">
        <v>6</v>
      </c>
      <c r="B246">
        <v>3</v>
      </c>
      <c r="C246">
        <v>0</v>
      </c>
      <c r="D246">
        <v>0</v>
      </c>
      <c r="E246">
        <v>0</v>
      </c>
      <c r="F246">
        <v>3</v>
      </c>
      <c r="G246">
        <v>0</v>
      </c>
      <c r="H246">
        <v>0</v>
      </c>
      <c r="I246">
        <v>0</v>
      </c>
    </row>
    <row r="247" spans="1:9" x14ac:dyDescent="0.3">
      <c r="A247">
        <v>7</v>
      </c>
      <c r="B247">
        <v>3</v>
      </c>
      <c r="C247">
        <v>0</v>
      </c>
      <c r="D247">
        <v>0</v>
      </c>
      <c r="E247">
        <v>0</v>
      </c>
      <c r="F247">
        <v>3</v>
      </c>
      <c r="G247">
        <v>0</v>
      </c>
      <c r="H247">
        <v>0</v>
      </c>
      <c r="I247">
        <v>0</v>
      </c>
    </row>
    <row r="248" spans="1:9" x14ac:dyDescent="0.3">
      <c r="A248">
        <v>8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 x14ac:dyDescent="0.3">
      <c r="A249">
        <v>2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</row>
    <row r="250" spans="1:9" x14ac:dyDescent="0.3">
      <c r="A250">
        <v>3</v>
      </c>
      <c r="B250">
        <v>45</v>
      </c>
      <c r="C250">
        <v>14</v>
      </c>
      <c r="D250">
        <v>0</v>
      </c>
      <c r="E250">
        <v>14</v>
      </c>
      <c r="F250">
        <v>31</v>
      </c>
      <c r="G250">
        <v>9</v>
      </c>
      <c r="H250">
        <v>0</v>
      </c>
      <c r="I250">
        <v>9</v>
      </c>
    </row>
    <row r="251" spans="1:9" x14ac:dyDescent="0.3">
      <c r="A251">
        <v>4</v>
      </c>
      <c r="B251">
        <v>8</v>
      </c>
      <c r="C251">
        <v>5</v>
      </c>
      <c r="D251">
        <v>0</v>
      </c>
      <c r="E251">
        <v>5</v>
      </c>
      <c r="F251">
        <v>3</v>
      </c>
      <c r="G251">
        <v>5</v>
      </c>
      <c r="H251">
        <v>0</v>
      </c>
      <c r="I251">
        <v>5</v>
      </c>
    </row>
    <row r="252" spans="1:9" x14ac:dyDescent="0.3">
      <c r="A252">
        <v>5</v>
      </c>
      <c r="B252">
        <v>5</v>
      </c>
      <c r="C252">
        <v>2</v>
      </c>
      <c r="D252">
        <v>0</v>
      </c>
      <c r="E252">
        <v>2</v>
      </c>
      <c r="F252">
        <v>3</v>
      </c>
      <c r="G252">
        <v>2</v>
      </c>
      <c r="H252">
        <v>0</v>
      </c>
      <c r="I252">
        <v>2</v>
      </c>
    </row>
    <row r="253" spans="1:9" x14ac:dyDescent="0.3">
      <c r="A253">
        <v>6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</row>
    <row r="254" spans="1:9" x14ac:dyDescent="0.3">
      <c r="A254">
        <v>7</v>
      </c>
      <c r="B254">
        <v>5</v>
      </c>
      <c r="C254">
        <v>0</v>
      </c>
      <c r="D254">
        <v>0</v>
      </c>
      <c r="E254">
        <v>0</v>
      </c>
      <c r="F254">
        <v>5</v>
      </c>
      <c r="G254">
        <v>0</v>
      </c>
      <c r="H254">
        <v>0</v>
      </c>
      <c r="I254">
        <v>0</v>
      </c>
    </row>
    <row r="255" spans="1:9" x14ac:dyDescent="0.3">
      <c r="A255">
        <v>8</v>
      </c>
      <c r="B255">
        <v>4</v>
      </c>
      <c r="C255">
        <v>0</v>
      </c>
      <c r="D255">
        <v>0</v>
      </c>
      <c r="E255">
        <v>0</v>
      </c>
      <c r="F255">
        <v>4</v>
      </c>
      <c r="G255">
        <v>0</v>
      </c>
      <c r="H255">
        <v>0</v>
      </c>
      <c r="I255">
        <v>0</v>
      </c>
    </row>
    <row r="256" spans="1:9" x14ac:dyDescent="0.3">
      <c r="A256">
        <v>2</v>
      </c>
      <c r="B256">
        <v>6</v>
      </c>
      <c r="C256">
        <v>3</v>
      </c>
      <c r="D256">
        <v>0</v>
      </c>
      <c r="E256">
        <v>3</v>
      </c>
      <c r="F256">
        <v>3</v>
      </c>
      <c r="G256">
        <v>3</v>
      </c>
      <c r="H256">
        <v>0</v>
      </c>
      <c r="I256">
        <v>3</v>
      </c>
    </row>
    <row r="257" spans="1:9" x14ac:dyDescent="0.3">
      <c r="A257">
        <v>3</v>
      </c>
      <c r="B257">
        <v>45</v>
      </c>
      <c r="C257">
        <v>21</v>
      </c>
      <c r="D257">
        <v>0</v>
      </c>
      <c r="E257">
        <v>21</v>
      </c>
      <c r="F257">
        <v>24</v>
      </c>
      <c r="G257">
        <v>15</v>
      </c>
      <c r="H257">
        <v>0</v>
      </c>
      <c r="I257">
        <v>15</v>
      </c>
    </row>
    <row r="258" spans="1:9" x14ac:dyDescent="0.3">
      <c r="A258">
        <v>4</v>
      </c>
      <c r="B258">
        <v>10</v>
      </c>
      <c r="C258">
        <v>3</v>
      </c>
      <c r="D258">
        <v>0</v>
      </c>
      <c r="E258">
        <v>3</v>
      </c>
      <c r="F258">
        <v>7</v>
      </c>
      <c r="G258">
        <v>3</v>
      </c>
      <c r="H258">
        <v>0</v>
      </c>
      <c r="I258">
        <v>3</v>
      </c>
    </row>
    <row r="259" spans="1:9" x14ac:dyDescent="0.3">
      <c r="A259">
        <v>5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</row>
    <row r="260" spans="1:9" x14ac:dyDescent="0.3">
      <c r="A260">
        <v>6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 x14ac:dyDescent="0.3">
      <c r="A261">
        <v>7</v>
      </c>
      <c r="B261">
        <v>3</v>
      </c>
      <c r="C261">
        <v>0</v>
      </c>
      <c r="D261">
        <v>0</v>
      </c>
      <c r="E261">
        <v>0</v>
      </c>
      <c r="F261">
        <v>3</v>
      </c>
      <c r="G261">
        <v>0</v>
      </c>
      <c r="H261">
        <v>0</v>
      </c>
      <c r="I261">
        <v>0</v>
      </c>
    </row>
    <row r="262" spans="1:9" x14ac:dyDescent="0.3">
      <c r="A262">
        <v>8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</row>
    <row r="263" spans="1:9" x14ac:dyDescent="0.3">
      <c r="A263">
        <v>2</v>
      </c>
      <c r="B263">
        <v>6</v>
      </c>
      <c r="C263">
        <v>5</v>
      </c>
      <c r="D263">
        <v>0</v>
      </c>
      <c r="E263">
        <v>5</v>
      </c>
      <c r="F263">
        <v>1</v>
      </c>
      <c r="G263">
        <v>5</v>
      </c>
      <c r="H263">
        <v>0</v>
      </c>
      <c r="I263">
        <v>5</v>
      </c>
    </row>
    <row r="264" spans="1:9" x14ac:dyDescent="0.3">
      <c r="A264">
        <v>3</v>
      </c>
      <c r="B264">
        <v>38</v>
      </c>
      <c r="C264">
        <v>18</v>
      </c>
      <c r="D264">
        <v>0</v>
      </c>
      <c r="E264">
        <v>18</v>
      </c>
      <c r="F264">
        <v>20</v>
      </c>
      <c r="G264">
        <v>10</v>
      </c>
      <c r="H264">
        <v>0</v>
      </c>
      <c r="I264">
        <v>10</v>
      </c>
    </row>
    <row r="265" spans="1:9" x14ac:dyDescent="0.3">
      <c r="A265">
        <v>4</v>
      </c>
      <c r="B265">
        <v>7</v>
      </c>
      <c r="C265">
        <v>1</v>
      </c>
      <c r="D265">
        <v>0</v>
      </c>
      <c r="E265">
        <v>1</v>
      </c>
      <c r="F265">
        <v>6</v>
      </c>
      <c r="G265">
        <v>1</v>
      </c>
      <c r="H265">
        <v>0</v>
      </c>
      <c r="I265">
        <v>1</v>
      </c>
    </row>
    <row r="266" spans="1:9" x14ac:dyDescent="0.3">
      <c r="A266">
        <v>5</v>
      </c>
      <c r="B266">
        <v>9</v>
      </c>
      <c r="C266">
        <v>3</v>
      </c>
      <c r="D266">
        <v>0</v>
      </c>
      <c r="E266">
        <v>3</v>
      </c>
      <c r="F266">
        <v>6</v>
      </c>
      <c r="G266">
        <v>3</v>
      </c>
      <c r="H266">
        <v>0</v>
      </c>
      <c r="I266">
        <v>3</v>
      </c>
    </row>
    <row r="267" spans="1:9" x14ac:dyDescent="0.3">
      <c r="A267">
        <v>6</v>
      </c>
      <c r="B267">
        <v>3</v>
      </c>
      <c r="C267">
        <v>0</v>
      </c>
      <c r="D267">
        <v>0</v>
      </c>
      <c r="E267">
        <v>0</v>
      </c>
      <c r="F267">
        <v>3</v>
      </c>
      <c r="G267">
        <v>0</v>
      </c>
      <c r="H267">
        <v>0</v>
      </c>
      <c r="I267">
        <v>0</v>
      </c>
    </row>
    <row r="268" spans="1:9" x14ac:dyDescent="0.3">
      <c r="A268">
        <v>7</v>
      </c>
      <c r="B268">
        <v>4</v>
      </c>
      <c r="C268">
        <v>0</v>
      </c>
      <c r="D268">
        <v>0</v>
      </c>
      <c r="E268">
        <v>0</v>
      </c>
      <c r="F268">
        <v>4</v>
      </c>
      <c r="G268">
        <v>0</v>
      </c>
      <c r="H268">
        <v>0</v>
      </c>
      <c r="I268">
        <v>0</v>
      </c>
    </row>
    <row r="269" spans="1:9" x14ac:dyDescent="0.3">
      <c r="A269">
        <v>8</v>
      </c>
      <c r="B269">
        <v>3</v>
      </c>
      <c r="C269">
        <v>0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</row>
    <row r="270" spans="1:9" x14ac:dyDescent="0.3">
      <c r="A270">
        <v>2</v>
      </c>
      <c r="B270">
        <v>6</v>
      </c>
      <c r="C270">
        <v>4</v>
      </c>
      <c r="D270">
        <v>0</v>
      </c>
      <c r="E270">
        <v>4</v>
      </c>
      <c r="F270">
        <v>2</v>
      </c>
      <c r="G270">
        <v>4</v>
      </c>
      <c r="H270">
        <v>0</v>
      </c>
      <c r="I270">
        <v>4</v>
      </c>
    </row>
    <row r="271" spans="1:9" x14ac:dyDescent="0.3">
      <c r="A271">
        <v>3</v>
      </c>
      <c r="B271">
        <v>41</v>
      </c>
      <c r="C271">
        <v>23</v>
      </c>
      <c r="D271">
        <v>0</v>
      </c>
      <c r="E271">
        <v>23</v>
      </c>
      <c r="F271">
        <v>18</v>
      </c>
      <c r="G271">
        <v>18</v>
      </c>
      <c r="H271">
        <v>0</v>
      </c>
      <c r="I271">
        <v>18</v>
      </c>
    </row>
    <row r="272" spans="1:9" x14ac:dyDescent="0.3">
      <c r="A272">
        <v>4</v>
      </c>
      <c r="B272">
        <v>6</v>
      </c>
      <c r="C272">
        <v>2</v>
      </c>
      <c r="D272">
        <v>0</v>
      </c>
      <c r="E272">
        <v>2</v>
      </c>
      <c r="F272">
        <v>4</v>
      </c>
      <c r="G272">
        <v>2</v>
      </c>
      <c r="H272">
        <v>0</v>
      </c>
      <c r="I272">
        <v>2</v>
      </c>
    </row>
    <row r="273" spans="1:10" x14ac:dyDescent="0.3">
      <c r="A273">
        <v>5</v>
      </c>
      <c r="B273">
        <v>6</v>
      </c>
      <c r="C273">
        <v>4</v>
      </c>
      <c r="D273">
        <v>0</v>
      </c>
      <c r="E273">
        <v>4</v>
      </c>
      <c r="F273">
        <v>2</v>
      </c>
      <c r="G273">
        <v>4</v>
      </c>
      <c r="H273">
        <v>0</v>
      </c>
      <c r="I273">
        <v>4</v>
      </c>
    </row>
    <row r="274" spans="1:10" x14ac:dyDescent="0.3">
      <c r="A274">
        <v>6</v>
      </c>
      <c r="B274">
        <v>4</v>
      </c>
      <c r="C274">
        <v>0</v>
      </c>
      <c r="D274">
        <v>0</v>
      </c>
      <c r="E274">
        <v>0</v>
      </c>
      <c r="F274">
        <v>4</v>
      </c>
      <c r="G274">
        <v>0</v>
      </c>
      <c r="H274">
        <v>0</v>
      </c>
      <c r="I274">
        <v>0</v>
      </c>
    </row>
    <row r="275" spans="1:10" x14ac:dyDescent="0.3">
      <c r="A275">
        <v>7</v>
      </c>
      <c r="B275">
        <v>4</v>
      </c>
      <c r="C275">
        <v>0</v>
      </c>
      <c r="D275">
        <v>0</v>
      </c>
      <c r="E275">
        <v>0</v>
      </c>
      <c r="F275">
        <v>4</v>
      </c>
      <c r="G275">
        <v>0</v>
      </c>
      <c r="H275">
        <v>0</v>
      </c>
      <c r="I275">
        <v>0</v>
      </c>
    </row>
    <row r="276" spans="1:10" x14ac:dyDescent="0.3">
      <c r="A276">
        <v>8</v>
      </c>
      <c r="B276">
        <v>3</v>
      </c>
      <c r="C276">
        <v>0</v>
      </c>
      <c r="D276">
        <v>0</v>
      </c>
      <c r="E276">
        <v>0</v>
      </c>
      <c r="F276">
        <v>3</v>
      </c>
      <c r="G276">
        <v>0</v>
      </c>
      <c r="H276">
        <v>0</v>
      </c>
      <c r="I276">
        <v>0</v>
      </c>
    </row>
    <row r="277" spans="1:10" x14ac:dyDescent="0.3">
      <c r="A277">
        <v>2</v>
      </c>
      <c r="B277">
        <v>6</v>
      </c>
      <c r="C277">
        <v>2</v>
      </c>
      <c r="D277">
        <v>0</v>
      </c>
      <c r="E277">
        <v>2</v>
      </c>
      <c r="F277">
        <v>4</v>
      </c>
      <c r="G277">
        <v>2</v>
      </c>
      <c r="H277">
        <v>0</v>
      </c>
      <c r="I277">
        <v>2</v>
      </c>
    </row>
    <row r="278" spans="1:10" x14ac:dyDescent="0.3">
      <c r="A278">
        <v>3</v>
      </c>
      <c r="B278">
        <v>40</v>
      </c>
      <c r="C278">
        <v>20</v>
      </c>
      <c r="D278">
        <v>0</v>
      </c>
      <c r="E278">
        <v>20</v>
      </c>
      <c r="F278">
        <v>20</v>
      </c>
      <c r="G278">
        <v>14</v>
      </c>
      <c r="H278">
        <v>0</v>
      </c>
      <c r="I278">
        <v>14</v>
      </c>
    </row>
    <row r="279" spans="1:10" x14ac:dyDescent="0.3">
      <c r="A279">
        <v>4</v>
      </c>
      <c r="B279">
        <v>12</v>
      </c>
      <c r="C279">
        <v>6</v>
      </c>
      <c r="D279">
        <v>0</v>
      </c>
      <c r="E279">
        <v>6</v>
      </c>
      <c r="F279">
        <v>6</v>
      </c>
      <c r="G279">
        <v>6</v>
      </c>
      <c r="H279">
        <v>0</v>
      </c>
      <c r="I279">
        <v>6</v>
      </c>
    </row>
    <row r="280" spans="1:10" x14ac:dyDescent="0.3">
      <c r="A280">
        <v>5</v>
      </c>
      <c r="B280">
        <v>7</v>
      </c>
      <c r="C280">
        <v>3</v>
      </c>
      <c r="D280">
        <v>0</v>
      </c>
      <c r="E280">
        <v>3</v>
      </c>
      <c r="F280">
        <v>4</v>
      </c>
      <c r="G280">
        <v>3</v>
      </c>
      <c r="H280">
        <v>0</v>
      </c>
      <c r="I280">
        <v>3</v>
      </c>
    </row>
    <row r="281" spans="1:10" x14ac:dyDescent="0.3">
      <c r="A281">
        <v>6</v>
      </c>
      <c r="B281">
        <v>1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</row>
    <row r="282" spans="1:10" x14ac:dyDescent="0.3">
      <c r="A282">
        <v>7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</row>
    <row r="283" spans="1:10" s="4" customFormat="1" x14ac:dyDescent="0.3">
      <c r="A283" s="4">
        <v>8</v>
      </c>
      <c r="B283" s="4">
        <v>3</v>
      </c>
      <c r="C283" s="4">
        <v>0</v>
      </c>
      <c r="D283" s="4">
        <v>0</v>
      </c>
      <c r="E283" s="4">
        <v>0</v>
      </c>
      <c r="F283" s="4">
        <v>3</v>
      </c>
      <c r="G283" s="4">
        <v>0</v>
      </c>
      <c r="H283" s="4">
        <v>0</v>
      </c>
      <c r="I283" s="4">
        <v>0</v>
      </c>
      <c r="J283" s="36"/>
    </row>
    <row r="284" spans="1:10" x14ac:dyDescent="0.3">
      <c r="A284">
        <v>2</v>
      </c>
      <c r="B284">
        <v>8</v>
      </c>
      <c r="C284">
        <v>5</v>
      </c>
      <c r="D284">
        <v>0</v>
      </c>
      <c r="E284">
        <v>5</v>
      </c>
      <c r="F284">
        <v>3</v>
      </c>
      <c r="G284">
        <v>5</v>
      </c>
      <c r="H284">
        <v>0</v>
      </c>
      <c r="I284">
        <v>5</v>
      </c>
    </row>
    <row r="285" spans="1:10" x14ac:dyDescent="0.3">
      <c r="A285">
        <v>3</v>
      </c>
      <c r="B285">
        <v>42</v>
      </c>
      <c r="C285">
        <v>20</v>
      </c>
      <c r="D285">
        <v>0</v>
      </c>
      <c r="E285">
        <v>20</v>
      </c>
      <c r="F285">
        <v>22</v>
      </c>
      <c r="G285">
        <v>11</v>
      </c>
      <c r="H285">
        <v>0</v>
      </c>
      <c r="I285">
        <v>11</v>
      </c>
    </row>
    <row r="286" spans="1:10" x14ac:dyDescent="0.3">
      <c r="A286">
        <v>4</v>
      </c>
      <c r="B286">
        <v>5</v>
      </c>
      <c r="C286">
        <v>1</v>
      </c>
      <c r="D286">
        <v>0</v>
      </c>
      <c r="E286">
        <v>1</v>
      </c>
      <c r="F286">
        <v>4</v>
      </c>
      <c r="G286">
        <v>1</v>
      </c>
      <c r="H286">
        <v>0</v>
      </c>
      <c r="I286">
        <v>1</v>
      </c>
    </row>
    <row r="287" spans="1:10" x14ac:dyDescent="0.3">
      <c r="A287">
        <v>5</v>
      </c>
      <c r="B287">
        <v>5</v>
      </c>
      <c r="C287">
        <v>3</v>
      </c>
      <c r="D287">
        <v>0</v>
      </c>
      <c r="E287">
        <v>3</v>
      </c>
      <c r="F287">
        <v>2</v>
      </c>
      <c r="G287">
        <v>3</v>
      </c>
      <c r="H287">
        <v>0</v>
      </c>
      <c r="I287">
        <v>3</v>
      </c>
    </row>
    <row r="288" spans="1:10" x14ac:dyDescent="0.3">
      <c r="A288">
        <v>6</v>
      </c>
      <c r="B288">
        <v>5</v>
      </c>
      <c r="C288">
        <v>0</v>
      </c>
      <c r="D288">
        <v>0</v>
      </c>
      <c r="E288">
        <v>0</v>
      </c>
      <c r="F288">
        <v>5</v>
      </c>
      <c r="G288">
        <v>0</v>
      </c>
      <c r="H288">
        <v>0</v>
      </c>
      <c r="I288">
        <v>0</v>
      </c>
    </row>
    <row r="289" spans="1:9" x14ac:dyDescent="0.3">
      <c r="A289">
        <v>7</v>
      </c>
      <c r="B289">
        <v>4</v>
      </c>
      <c r="C289">
        <v>0</v>
      </c>
      <c r="D289">
        <v>0</v>
      </c>
      <c r="E289">
        <v>0</v>
      </c>
      <c r="F289">
        <v>4</v>
      </c>
      <c r="G289">
        <v>0</v>
      </c>
      <c r="H289">
        <v>0</v>
      </c>
      <c r="I289">
        <v>0</v>
      </c>
    </row>
    <row r="290" spans="1:9" x14ac:dyDescent="0.3">
      <c r="A290">
        <v>8</v>
      </c>
      <c r="B290">
        <v>1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</row>
    <row r="291" spans="1:9" x14ac:dyDescent="0.3">
      <c r="A291">
        <v>2</v>
      </c>
      <c r="B291">
        <v>8</v>
      </c>
      <c r="C291">
        <v>4</v>
      </c>
      <c r="D291">
        <v>0</v>
      </c>
      <c r="E291">
        <v>4</v>
      </c>
      <c r="F291">
        <v>4</v>
      </c>
      <c r="G291">
        <v>4</v>
      </c>
      <c r="H291">
        <v>0</v>
      </c>
      <c r="I291">
        <v>4</v>
      </c>
    </row>
    <row r="292" spans="1:9" x14ac:dyDescent="0.3">
      <c r="A292">
        <v>3</v>
      </c>
      <c r="B292">
        <v>37</v>
      </c>
      <c r="C292">
        <v>21</v>
      </c>
      <c r="D292">
        <v>0</v>
      </c>
      <c r="E292">
        <v>21</v>
      </c>
      <c r="F292">
        <v>16</v>
      </c>
      <c r="G292">
        <v>14</v>
      </c>
      <c r="H292">
        <v>0</v>
      </c>
      <c r="I292">
        <v>14</v>
      </c>
    </row>
    <row r="293" spans="1:9" x14ac:dyDescent="0.3">
      <c r="A293">
        <v>4</v>
      </c>
      <c r="B293">
        <v>5</v>
      </c>
      <c r="C293">
        <v>2</v>
      </c>
      <c r="D293">
        <v>0</v>
      </c>
      <c r="E293">
        <v>2</v>
      </c>
      <c r="F293">
        <v>3</v>
      </c>
      <c r="G293">
        <v>2</v>
      </c>
      <c r="H293">
        <v>0</v>
      </c>
      <c r="I293">
        <v>2</v>
      </c>
    </row>
    <row r="294" spans="1:9" x14ac:dyDescent="0.3">
      <c r="A294">
        <v>5</v>
      </c>
      <c r="B294">
        <v>7</v>
      </c>
      <c r="C294">
        <v>3</v>
      </c>
      <c r="D294">
        <v>0</v>
      </c>
      <c r="E294">
        <v>3</v>
      </c>
      <c r="F294">
        <v>4</v>
      </c>
      <c r="G294">
        <v>3</v>
      </c>
      <c r="H294">
        <v>0</v>
      </c>
      <c r="I294">
        <v>3</v>
      </c>
    </row>
    <row r="295" spans="1:9" x14ac:dyDescent="0.3">
      <c r="A295">
        <v>6</v>
      </c>
      <c r="B295">
        <v>7</v>
      </c>
      <c r="C295">
        <v>0</v>
      </c>
      <c r="D295">
        <v>0</v>
      </c>
      <c r="E295">
        <v>0</v>
      </c>
      <c r="F295">
        <v>7</v>
      </c>
      <c r="G295">
        <v>0</v>
      </c>
      <c r="H295">
        <v>0</v>
      </c>
      <c r="I295">
        <v>0</v>
      </c>
    </row>
    <row r="296" spans="1:9" x14ac:dyDescent="0.3">
      <c r="A296">
        <v>7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</row>
    <row r="297" spans="1:9" x14ac:dyDescent="0.3">
      <c r="A297">
        <v>8</v>
      </c>
      <c r="B297">
        <v>4</v>
      </c>
      <c r="C297">
        <v>0</v>
      </c>
      <c r="D297">
        <v>0</v>
      </c>
      <c r="E297">
        <v>0</v>
      </c>
      <c r="F297">
        <v>4</v>
      </c>
      <c r="G297">
        <v>0</v>
      </c>
      <c r="H297">
        <v>0</v>
      </c>
      <c r="I297">
        <v>0</v>
      </c>
    </row>
    <row r="298" spans="1:9" x14ac:dyDescent="0.3">
      <c r="A298">
        <v>2</v>
      </c>
      <c r="B298">
        <v>5</v>
      </c>
      <c r="C298">
        <v>1</v>
      </c>
      <c r="D298">
        <v>0</v>
      </c>
      <c r="E298">
        <v>1</v>
      </c>
      <c r="F298">
        <v>4</v>
      </c>
      <c r="G298">
        <v>1</v>
      </c>
      <c r="H298">
        <v>0</v>
      </c>
      <c r="I298">
        <v>1</v>
      </c>
    </row>
    <row r="299" spans="1:9" x14ac:dyDescent="0.3">
      <c r="A299">
        <v>3</v>
      </c>
      <c r="B299">
        <v>35</v>
      </c>
      <c r="C299">
        <v>17</v>
      </c>
      <c r="D299">
        <v>0</v>
      </c>
      <c r="E299">
        <v>17</v>
      </c>
      <c r="F299">
        <v>18</v>
      </c>
      <c r="G299">
        <v>12</v>
      </c>
      <c r="H299">
        <v>0</v>
      </c>
      <c r="I299">
        <v>12</v>
      </c>
    </row>
    <row r="300" spans="1:9" x14ac:dyDescent="0.3">
      <c r="A300">
        <v>4</v>
      </c>
      <c r="B300">
        <v>11</v>
      </c>
      <c r="C300">
        <v>5</v>
      </c>
      <c r="D300">
        <v>0</v>
      </c>
      <c r="E300">
        <v>5</v>
      </c>
      <c r="F300">
        <v>6</v>
      </c>
      <c r="G300">
        <v>5</v>
      </c>
      <c r="H300">
        <v>0</v>
      </c>
      <c r="I300">
        <v>5</v>
      </c>
    </row>
    <row r="301" spans="1:9" x14ac:dyDescent="0.3">
      <c r="A301">
        <v>5</v>
      </c>
      <c r="B301">
        <v>8</v>
      </c>
      <c r="C301">
        <v>2</v>
      </c>
      <c r="D301">
        <v>0</v>
      </c>
      <c r="E301">
        <v>2</v>
      </c>
      <c r="F301">
        <v>6</v>
      </c>
      <c r="G301">
        <v>2</v>
      </c>
      <c r="H301">
        <v>0</v>
      </c>
      <c r="I301">
        <v>2</v>
      </c>
    </row>
    <row r="302" spans="1:9" x14ac:dyDescent="0.3">
      <c r="A302">
        <v>6</v>
      </c>
      <c r="B302">
        <v>7</v>
      </c>
      <c r="C302">
        <v>0</v>
      </c>
      <c r="D302">
        <v>0</v>
      </c>
      <c r="E302">
        <v>0</v>
      </c>
      <c r="F302">
        <v>7</v>
      </c>
      <c r="G302">
        <v>0</v>
      </c>
      <c r="H302">
        <v>0</v>
      </c>
      <c r="I302">
        <v>0</v>
      </c>
    </row>
    <row r="303" spans="1:9" x14ac:dyDescent="0.3">
      <c r="A303">
        <v>7</v>
      </c>
      <c r="B303">
        <v>3</v>
      </c>
      <c r="C303">
        <v>0</v>
      </c>
      <c r="D303">
        <v>0</v>
      </c>
      <c r="E303">
        <v>0</v>
      </c>
      <c r="F303">
        <v>3</v>
      </c>
      <c r="G303">
        <v>0</v>
      </c>
      <c r="H303">
        <v>0</v>
      </c>
      <c r="I303">
        <v>0</v>
      </c>
    </row>
    <row r="304" spans="1:9" x14ac:dyDescent="0.3">
      <c r="A304">
        <v>8</v>
      </c>
      <c r="B304">
        <v>1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 x14ac:dyDescent="0.3">
      <c r="A305">
        <v>2</v>
      </c>
      <c r="B305">
        <v>9</v>
      </c>
      <c r="C305">
        <v>5</v>
      </c>
      <c r="D305">
        <v>0</v>
      </c>
      <c r="E305">
        <v>5</v>
      </c>
      <c r="F305">
        <v>4</v>
      </c>
      <c r="G305">
        <v>5</v>
      </c>
      <c r="H305">
        <v>0</v>
      </c>
      <c r="I305">
        <v>5</v>
      </c>
    </row>
    <row r="306" spans="1:9" x14ac:dyDescent="0.3">
      <c r="A306">
        <v>3</v>
      </c>
      <c r="B306">
        <v>38</v>
      </c>
      <c r="C306">
        <v>20</v>
      </c>
      <c r="D306">
        <v>0</v>
      </c>
      <c r="E306">
        <v>20</v>
      </c>
      <c r="F306">
        <v>18</v>
      </c>
      <c r="G306">
        <v>13</v>
      </c>
      <c r="H306">
        <v>0</v>
      </c>
      <c r="I306">
        <v>13</v>
      </c>
    </row>
    <row r="307" spans="1:9" x14ac:dyDescent="0.3">
      <c r="A307">
        <v>4</v>
      </c>
      <c r="B307">
        <v>8</v>
      </c>
      <c r="C307">
        <v>2</v>
      </c>
      <c r="D307">
        <v>0</v>
      </c>
      <c r="E307">
        <v>2</v>
      </c>
      <c r="F307">
        <v>6</v>
      </c>
      <c r="G307">
        <v>2</v>
      </c>
      <c r="H307">
        <v>0</v>
      </c>
      <c r="I307">
        <v>2</v>
      </c>
    </row>
    <row r="308" spans="1:9" x14ac:dyDescent="0.3">
      <c r="A308">
        <v>5</v>
      </c>
      <c r="B308">
        <v>6</v>
      </c>
      <c r="C308">
        <v>2</v>
      </c>
      <c r="D308">
        <v>0</v>
      </c>
      <c r="E308">
        <v>2</v>
      </c>
      <c r="F308">
        <v>4</v>
      </c>
      <c r="G308">
        <v>2</v>
      </c>
      <c r="H308">
        <v>0</v>
      </c>
      <c r="I308">
        <v>2</v>
      </c>
    </row>
    <row r="309" spans="1:9" x14ac:dyDescent="0.3">
      <c r="A309">
        <v>6</v>
      </c>
      <c r="B309">
        <v>7</v>
      </c>
      <c r="C309">
        <v>0</v>
      </c>
      <c r="D309">
        <v>0</v>
      </c>
      <c r="E309">
        <v>0</v>
      </c>
      <c r="F309">
        <v>7</v>
      </c>
      <c r="G309">
        <v>0</v>
      </c>
      <c r="H309">
        <v>0</v>
      </c>
      <c r="I309">
        <v>0</v>
      </c>
    </row>
    <row r="310" spans="1:9" x14ac:dyDescent="0.3">
      <c r="A310">
        <v>7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</row>
    <row r="311" spans="1:9" x14ac:dyDescent="0.3">
      <c r="A311">
        <v>2</v>
      </c>
      <c r="B311">
        <v>5</v>
      </c>
      <c r="C311">
        <v>1</v>
      </c>
      <c r="D311">
        <v>0</v>
      </c>
      <c r="E311">
        <v>1</v>
      </c>
      <c r="F311">
        <v>4</v>
      </c>
      <c r="G311">
        <v>1</v>
      </c>
      <c r="H311">
        <v>0</v>
      </c>
      <c r="I311">
        <v>1</v>
      </c>
    </row>
    <row r="312" spans="1:9" x14ac:dyDescent="0.3">
      <c r="A312">
        <v>3</v>
      </c>
      <c r="B312">
        <v>38</v>
      </c>
      <c r="C312">
        <v>13</v>
      </c>
      <c r="D312">
        <v>0</v>
      </c>
      <c r="E312">
        <v>13</v>
      </c>
      <c r="F312">
        <v>25</v>
      </c>
      <c r="G312">
        <v>11</v>
      </c>
      <c r="H312">
        <v>0</v>
      </c>
      <c r="I312">
        <v>11</v>
      </c>
    </row>
    <row r="313" spans="1:9" x14ac:dyDescent="0.3">
      <c r="A313">
        <v>4</v>
      </c>
      <c r="B313">
        <v>12</v>
      </c>
      <c r="C313">
        <v>3</v>
      </c>
      <c r="D313">
        <v>0</v>
      </c>
      <c r="E313">
        <v>3</v>
      </c>
      <c r="F313">
        <v>9</v>
      </c>
      <c r="G313">
        <v>3</v>
      </c>
      <c r="H313">
        <v>0</v>
      </c>
      <c r="I313">
        <v>3</v>
      </c>
    </row>
    <row r="314" spans="1:9" x14ac:dyDescent="0.3">
      <c r="A314">
        <v>5</v>
      </c>
      <c r="B314">
        <v>5</v>
      </c>
      <c r="C314">
        <v>2</v>
      </c>
      <c r="D314">
        <v>0</v>
      </c>
      <c r="E314">
        <v>2</v>
      </c>
      <c r="F314">
        <v>3</v>
      </c>
      <c r="G314">
        <v>2</v>
      </c>
      <c r="H314">
        <v>0</v>
      </c>
      <c r="I314">
        <v>2</v>
      </c>
    </row>
    <row r="315" spans="1:9" x14ac:dyDescent="0.3">
      <c r="A315">
        <v>6</v>
      </c>
      <c r="B315">
        <v>4</v>
      </c>
      <c r="C315">
        <v>0</v>
      </c>
      <c r="D315">
        <v>0</v>
      </c>
      <c r="E315">
        <v>0</v>
      </c>
      <c r="F315">
        <v>4</v>
      </c>
      <c r="G315">
        <v>0</v>
      </c>
      <c r="H315">
        <v>0</v>
      </c>
      <c r="I315">
        <v>0</v>
      </c>
    </row>
    <row r="316" spans="1:9" x14ac:dyDescent="0.3">
      <c r="A316">
        <v>7</v>
      </c>
      <c r="B316">
        <v>5</v>
      </c>
      <c r="C316">
        <v>0</v>
      </c>
      <c r="D316">
        <v>0</v>
      </c>
      <c r="E316">
        <v>0</v>
      </c>
      <c r="F316">
        <v>5</v>
      </c>
      <c r="G316">
        <v>0</v>
      </c>
      <c r="H316">
        <v>0</v>
      </c>
      <c r="I316">
        <v>0</v>
      </c>
    </row>
    <row r="317" spans="1:9" x14ac:dyDescent="0.3">
      <c r="A317">
        <v>8</v>
      </c>
      <c r="B317">
        <v>1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</row>
    <row r="318" spans="1:9" x14ac:dyDescent="0.3">
      <c r="A318">
        <v>2</v>
      </c>
      <c r="B318">
        <v>5</v>
      </c>
      <c r="C318">
        <v>5</v>
      </c>
      <c r="D318">
        <v>0</v>
      </c>
      <c r="E318">
        <v>5</v>
      </c>
      <c r="F318">
        <v>0</v>
      </c>
      <c r="G318">
        <v>5</v>
      </c>
      <c r="H318">
        <v>0</v>
      </c>
      <c r="I318">
        <v>5</v>
      </c>
    </row>
    <row r="319" spans="1:9" x14ac:dyDescent="0.3">
      <c r="A319">
        <v>3</v>
      </c>
      <c r="B319">
        <v>48</v>
      </c>
      <c r="C319">
        <v>24</v>
      </c>
      <c r="D319">
        <v>0</v>
      </c>
      <c r="E319">
        <v>24</v>
      </c>
      <c r="F319">
        <v>24</v>
      </c>
      <c r="G319">
        <v>12</v>
      </c>
      <c r="H319">
        <v>0</v>
      </c>
      <c r="I319">
        <v>12</v>
      </c>
    </row>
    <row r="320" spans="1:9" x14ac:dyDescent="0.3">
      <c r="A320">
        <v>4</v>
      </c>
      <c r="B320">
        <v>4</v>
      </c>
      <c r="C320">
        <v>3</v>
      </c>
      <c r="D320">
        <v>0</v>
      </c>
      <c r="E320">
        <v>3</v>
      </c>
      <c r="F320">
        <v>1</v>
      </c>
      <c r="G320">
        <v>3</v>
      </c>
      <c r="H320">
        <v>0</v>
      </c>
      <c r="I320">
        <v>3</v>
      </c>
    </row>
    <row r="321" spans="1:9" x14ac:dyDescent="0.3">
      <c r="A321">
        <v>5</v>
      </c>
      <c r="B321">
        <v>4</v>
      </c>
      <c r="C321">
        <v>2</v>
      </c>
      <c r="D321">
        <v>0</v>
      </c>
      <c r="E321">
        <v>2</v>
      </c>
      <c r="F321">
        <v>2</v>
      </c>
      <c r="G321">
        <v>2</v>
      </c>
      <c r="H321">
        <v>0</v>
      </c>
      <c r="I321">
        <v>2</v>
      </c>
    </row>
    <row r="322" spans="1:9" x14ac:dyDescent="0.3">
      <c r="A322">
        <v>6</v>
      </c>
      <c r="B322">
        <v>4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 x14ac:dyDescent="0.3">
      <c r="A323">
        <v>7</v>
      </c>
      <c r="B323">
        <v>4</v>
      </c>
      <c r="C323">
        <v>0</v>
      </c>
      <c r="D323">
        <v>0</v>
      </c>
      <c r="E323">
        <v>0</v>
      </c>
      <c r="F323">
        <v>4</v>
      </c>
      <c r="G323">
        <v>0</v>
      </c>
      <c r="H323">
        <v>0</v>
      </c>
      <c r="I323">
        <v>0</v>
      </c>
    </row>
    <row r="324" spans="1:9" x14ac:dyDescent="0.3">
      <c r="A324">
        <v>8</v>
      </c>
      <c r="B324">
        <v>1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</row>
    <row r="325" spans="1:9" x14ac:dyDescent="0.3">
      <c r="A325">
        <v>2</v>
      </c>
      <c r="B325">
        <v>4</v>
      </c>
      <c r="C325">
        <v>2</v>
      </c>
      <c r="D325">
        <v>0</v>
      </c>
      <c r="E325">
        <v>2</v>
      </c>
      <c r="F325">
        <v>2</v>
      </c>
      <c r="G325">
        <v>2</v>
      </c>
      <c r="H325">
        <v>0</v>
      </c>
      <c r="I325">
        <v>2</v>
      </c>
    </row>
    <row r="326" spans="1:9" x14ac:dyDescent="0.3">
      <c r="A326">
        <v>3</v>
      </c>
      <c r="B326">
        <v>34</v>
      </c>
      <c r="C326">
        <v>17</v>
      </c>
      <c r="D326">
        <v>0</v>
      </c>
      <c r="E326">
        <v>17</v>
      </c>
      <c r="F326">
        <v>17</v>
      </c>
      <c r="G326">
        <v>10</v>
      </c>
      <c r="H326">
        <v>0</v>
      </c>
      <c r="I326">
        <v>10</v>
      </c>
    </row>
    <row r="327" spans="1:9" x14ac:dyDescent="0.3">
      <c r="A327">
        <v>4</v>
      </c>
      <c r="B327">
        <v>8</v>
      </c>
      <c r="C327">
        <v>3</v>
      </c>
      <c r="D327">
        <v>0</v>
      </c>
      <c r="E327">
        <v>3</v>
      </c>
      <c r="F327">
        <v>5</v>
      </c>
      <c r="G327">
        <v>3</v>
      </c>
      <c r="H327">
        <v>0</v>
      </c>
      <c r="I327">
        <v>3</v>
      </c>
    </row>
    <row r="328" spans="1:9" x14ac:dyDescent="0.3">
      <c r="A328">
        <v>5</v>
      </c>
      <c r="B328">
        <v>9</v>
      </c>
      <c r="C328">
        <v>5</v>
      </c>
      <c r="D328">
        <v>0</v>
      </c>
      <c r="E328">
        <v>5</v>
      </c>
      <c r="F328">
        <v>4</v>
      </c>
      <c r="G328">
        <v>5</v>
      </c>
      <c r="H328">
        <v>0</v>
      </c>
      <c r="I328">
        <v>5</v>
      </c>
    </row>
    <row r="329" spans="1:9" x14ac:dyDescent="0.3">
      <c r="A329">
        <v>6</v>
      </c>
      <c r="B329">
        <v>6</v>
      </c>
      <c r="C329">
        <v>0</v>
      </c>
      <c r="D329">
        <v>0</v>
      </c>
      <c r="E329">
        <v>0</v>
      </c>
      <c r="F329">
        <v>6</v>
      </c>
      <c r="G329">
        <v>0</v>
      </c>
      <c r="H329">
        <v>0</v>
      </c>
      <c r="I329">
        <v>0</v>
      </c>
    </row>
    <row r="330" spans="1:9" x14ac:dyDescent="0.3">
      <c r="A330">
        <v>7</v>
      </c>
      <c r="B330">
        <v>6</v>
      </c>
      <c r="C330">
        <v>0</v>
      </c>
      <c r="D330">
        <v>0</v>
      </c>
      <c r="E330">
        <v>0</v>
      </c>
      <c r="F330">
        <v>6</v>
      </c>
      <c r="G330">
        <v>0</v>
      </c>
      <c r="H330">
        <v>0</v>
      </c>
      <c r="I330">
        <v>0</v>
      </c>
    </row>
    <row r="331" spans="1:9" x14ac:dyDescent="0.3">
      <c r="A331">
        <v>8</v>
      </c>
      <c r="B331">
        <v>3</v>
      </c>
      <c r="C331">
        <v>0</v>
      </c>
      <c r="D331">
        <v>0</v>
      </c>
      <c r="E331">
        <v>0</v>
      </c>
      <c r="F331">
        <v>3</v>
      </c>
      <c r="G331">
        <v>0</v>
      </c>
      <c r="H331">
        <v>0</v>
      </c>
      <c r="I331">
        <v>0</v>
      </c>
    </row>
    <row r="332" spans="1:9" x14ac:dyDescent="0.3">
      <c r="A332">
        <v>2</v>
      </c>
      <c r="B332">
        <v>3</v>
      </c>
      <c r="C332">
        <v>2</v>
      </c>
      <c r="D332">
        <v>0</v>
      </c>
      <c r="E332">
        <v>2</v>
      </c>
      <c r="F332">
        <v>1</v>
      </c>
      <c r="G332">
        <v>2</v>
      </c>
      <c r="H332">
        <v>0</v>
      </c>
      <c r="I332">
        <v>2</v>
      </c>
    </row>
    <row r="333" spans="1:9" x14ac:dyDescent="0.3">
      <c r="A333">
        <v>3</v>
      </c>
      <c r="B333">
        <v>41</v>
      </c>
      <c r="C333">
        <v>19</v>
      </c>
      <c r="D333">
        <v>0</v>
      </c>
      <c r="E333">
        <v>19</v>
      </c>
      <c r="F333">
        <v>22</v>
      </c>
      <c r="G333">
        <v>13</v>
      </c>
      <c r="H333">
        <v>0</v>
      </c>
      <c r="I333">
        <v>13</v>
      </c>
    </row>
    <row r="334" spans="1:9" x14ac:dyDescent="0.3">
      <c r="A334">
        <v>4</v>
      </c>
      <c r="B334">
        <v>10</v>
      </c>
      <c r="C334">
        <v>7</v>
      </c>
      <c r="D334">
        <v>0</v>
      </c>
      <c r="E334">
        <v>7</v>
      </c>
      <c r="F334">
        <v>3</v>
      </c>
      <c r="G334">
        <v>7</v>
      </c>
      <c r="H334">
        <v>0</v>
      </c>
      <c r="I334">
        <v>7</v>
      </c>
    </row>
    <row r="335" spans="1:9" x14ac:dyDescent="0.3">
      <c r="A335">
        <v>5</v>
      </c>
      <c r="B335">
        <v>7</v>
      </c>
      <c r="C335">
        <v>4</v>
      </c>
      <c r="D335">
        <v>0</v>
      </c>
      <c r="E335">
        <v>4</v>
      </c>
      <c r="F335">
        <v>3</v>
      </c>
      <c r="G335">
        <v>4</v>
      </c>
      <c r="H335">
        <v>0</v>
      </c>
      <c r="I335">
        <v>4</v>
      </c>
    </row>
    <row r="336" spans="1:9" x14ac:dyDescent="0.3">
      <c r="A336">
        <v>6</v>
      </c>
      <c r="B336">
        <v>3</v>
      </c>
      <c r="C336">
        <v>0</v>
      </c>
      <c r="D336">
        <v>0</v>
      </c>
      <c r="E336">
        <v>0</v>
      </c>
      <c r="F336">
        <v>3</v>
      </c>
      <c r="G336">
        <v>0</v>
      </c>
      <c r="H336">
        <v>0</v>
      </c>
      <c r="I336">
        <v>0</v>
      </c>
    </row>
    <row r="337" spans="1:9" x14ac:dyDescent="0.3">
      <c r="A337">
        <v>7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0</v>
      </c>
      <c r="H337">
        <v>0</v>
      </c>
      <c r="I337">
        <v>0</v>
      </c>
    </row>
    <row r="338" spans="1:9" x14ac:dyDescent="0.3">
      <c r="A338">
        <v>8</v>
      </c>
      <c r="B338">
        <v>4</v>
      </c>
      <c r="C338">
        <v>0</v>
      </c>
      <c r="D338">
        <v>0</v>
      </c>
      <c r="E338">
        <v>0</v>
      </c>
      <c r="F338">
        <v>4</v>
      </c>
      <c r="G338">
        <v>0</v>
      </c>
      <c r="H338">
        <v>0</v>
      </c>
      <c r="I338">
        <v>0</v>
      </c>
    </row>
    <row r="339" spans="1:9" x14ac:dyDescent="0.3">
      <c r="A339">
        <v>2</v>
      </c>
      <c r="B339">
        <v>6</v>
      </c>
      <c r="C339">
        <v>4</v>
      </c>
      <c r="D339">
        <v>0</v>
      </c>
      <c r="E339">
        <v>4</v>
      </c>
      <c r="F339">
        <v>2</v>
      </c>
      <c r="G339">
        <v>4</v>
      </c>
      <c r="H339">
        <v>0</v>
      </c>
      <c r="I339">
        <v>4</v>
      </c>
    </row>
    <row r="340" spans="1:9" x14ac:dyDescent="0.3">
      <c r="A340">
        <v>3</v>
      </c>
      <c r="B340">
        <v>39</v>
      </c>
      <c r="C340">
        <v>19</v>
      </c>
      <c r="D340">
        <v>0</v>
      </c>
      <c r="E340">
        <v>19</v>
      </c>
      <c r="F340">
        <v>20</v>
      </c>
      <c r="G340">
        <v>13</v>
      </c>
      <c r="H340">
        <v>0</v>
      </c>
      <c r="I340">
        <v>13</v>
      </c>
    </row>
    <row r="341" spans="1:9" x14ac:dyDescent="0.3">
      <c r="A341">
        <v>4</v>
      </c>
      <c r="B341">
        <v>10</v>
      </c>
      <c r="C341">
        <v>4</v>
      </c>
      <c r="D341">
        <v>0</v>
      </c>
      <c r="E341">
        <v>4</v>
      </c>
      <c r="F341">
        <v>6</v>
      </c>
      <c r="G341">
        <v>4</v>
      </c>
      <c r="H341">
        <v>0</v>
      </c>
      <c r="I341">
        <v>4</v>
      </c>
    </row>
    <row r="342" spans="1:9" x14ac:dyDescent="0.3">
      <c r="A342">
        <v>5</v>
      </c>
      <c r="B342">
        <v>5</v>
      </c>
      <c r="C342">
        <v>2</v>
      </c>
      <c r="D342">
        <v>0</v>
      </c>
      <c r="E342">
        <v>2</v>
      </c>
      <c r="F342">
        <v>3</v>
      </c>
      <c r="G342">
        <v>2</v>
      </c>
      <c r="H342">
        <v>0</v>
      </c>
      <c r="I342">
        <v>2</v>
      </c>
    </row>
    <row r="343" spans="1:9" x14ac:dyDescent="0.3">
      <c r="A343">
        <v>6</v>
      </c>
      <c r="B343">
        <v>4</v>
      </c>
      <c r="C343">
        <v>0</v>
      </c>
      <c r="D343">
        <v>0</v>
      </c>
      <c r="E343">
        <v>0</v>
      </c>
      <c r="F343">
        <v>4</v>
      </c>
      <c r="G343">
        <v>0</v>
      </c>
      <c r="H343">
        <v>0</v>
      </c>
      <c r="I343">
        <v>0</v>
      </c>
    </row>
    <row r="344" spans="1:9" x14ac:dyDescent="0.3">
      <c r="A344">
        <v>7</v>
      </c>
      <c r="B344">
        <v>5</v>
      </c>
      <c r="C344">
        <v>0</v>
      </c>
      <c r="D344">
        <v>0</v>
      </c>
      <c r="E344">
        <v>0</v>
      </c>
      <c r="F344">
        <v>5</v>
      </c>
      <c r="G344">
        <v>0</v>
      </c>
      <c r="H344">
        <v>0</v>
      </c>
      <c r="I344">
        <v>0</v>
      </c>
    </row>
    <row r="345" spans="1:9" x14ac:dyDescent="0.3">
      <c r="A345">
        <v>8</v>
      </c>
      <c r="B345">
        <v>1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</row>
    <row r="346" spans="1:9" x14ac:dyDescent="0.3">
      <c r="A346">
        <v>2</v>
      </c>
      <c r="B346">
        <v>6</v>
      </c>
      <c r="C346">
        <v>4</v>
      </c>
      <c r="D346">
        <v>0</v>
      </c>
      <c r="E346">
        <v>4</v>
      </c>
      <c r="F346">
        <v>2</v>
      </c>
      <c r="G346">
        <v>4</v>
      </c>
      <c r="H346">
        <v>0</v>
      </c>
      <c r="I346">
        <v>4</v>
      </c>
    </row>
    <row r="347" spans="1:9" x14ac:dyDescent="0.3">
      <c r="A347">
        <v>3</v>
      </c>
      <c r="B347">
        <v>41</v>
      </c>
      <c r="C347">
        <v>24</v>
      </c>
      <c r="D347">
        <v>0</v>
      </c>
      <c r="E347">
        <v>24</v>
      </c>
      <c r="F347">
        <v>17</v>
      </c>
      <c r="G347">
        <v>22</v>
      </c>
      <c r="H347">
        <v>0</v>
      </c>
      <c r="I347">
        <v>22</v>
      </c>
    </row>
    <row r="348" spans="1:9" x14ac:dyDescent="0.3">
      <c r="A348">
        <v>4</v>
      </c>
      <c r="B348">
        <v>11</v>
      </c>
      <c r="C348">
        <v>7</v>
      </c>
      <c r="D348">
        <v>0</v>
      </c>
      <c r="E348">
        <v>7</v>
      </c>
      <c r="F348">
        <v>4</v>
      </c>
      <c r="G348">
        <v>7</v>
      </c>
      <c r="H348">
        <v>0</v>
      </c>
      <c r="I348">
        <v>7</v>
      </c>
    </row>
    <row r="349" spans="1:9" x14ac:dyDescent="0.3">
      <c r="A349">
        <v>5</v>
      </c>
      <c r="B349">
        <v>2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0</v>
      </c>
      <c r="I349">
        <v>1</v>
      </c>
    </row>
    <row r="350" spans="1:9" x14ac:dyDescent="0.3">
      <c r="A350">
        <v>6</v>
      </c>
      <c r="B350">
        <v>4</v>
      </c>
      <c r="C350">
        <v>0</v>
      </c>
      <c r="D350">
        <v>0</v>
      </c>
      <c r="E350">
        <v>0</v>
      </c>
      <c r="F350">
        <v>4</v>
      </c>
      <c r="G350">
        <v>0</v>
      </c>
      <c r="H350">
        <v>0</v>
      </c>
      <c r="I350">
        <v>0</v>
      </c>
    </row>
    <row r="351" spans="1:9" x14ac:dyDescent="0.3">
      <c r="A351">
        <v>7</v>
      </c>
      <c r="B351">
        <v>3</v>
      </c>
      <c r="C351">
        <v>0</v>
      </c>
      <c r="D351">
        <v>0</v>
      </c>
      <c r="E351">
        <v>0</v>
      </c>
      <c r="F351">
        <v>3</v>
      </c>
      <c r="G351">
        <v>0</v>
      </c>
      <c r="H351">
        <v>0</v>
      </c>
      <c r="I351">
        <v>0</v>
      </c>
    </row>
    <row r="352" spans="1:9" x14ac:dyDescent="0.3">
      <c r="A352">
        <v>8</v>
      </c>
      <c r="B352">
        <v>3</v>
      </c>
      <c r="C352">
        <v>0</v>
      </c>
      <c r="D352">
        <v>0</v>
      </c>
      <c r="E352">
        <v>0</v>
      </c>
      <c r="F352">
        <v>3</v>
      </c>
      <c r="G352">
        <v>0</v>
      </c>
      <c r="H352">
        <v>0</v>
      </c>
      <c r="I352">
        <v>0</v>
      </c>
    </row>
    <row r="353" spans="1:9" x14ac:dyDescent="0.3">
      <c r="A353">
        <v>2</v>
      </c>
      <c r="B353">
        <v>8</v>
      </c>
      <c r="C353">
        <v>6</v>
      </c>
      <c r="D353">
        <v>0</v>
      </c>
      <c r="E353">
        <v>6</v>
      </c>
      <c r="F353">
        <v>2</v>
      </c>
      <c r="G353">
        <v>6</v>
      </c>
      <c r="H353">
        <v>0</v>
      </c>
      <c r="I353">
        <v>6</v>
      </c>
    </row>
    <row r="354" spans="1:9" x14ac:dyDescent="0.3">
      <c r="A354">
        <v>3</v>
      </c>
      <c r="B354">
        <v>38</v>
      </c>
      <c r="C354">
        <v>14</v>
      </c>
      <c r="D354">
        <v>0</v>
      </c>
      <c r="E354">
        <v>14</v>
      </c>
      <c r="F354">
        <v>24</v>
      </c>
      <c r="G354">
        <v>10</v>
      </c>
      <c r="H354">
        <v>0</v>
      </c>
      <c r="I354">
        <v>10</v>
      </c>
    </row>
    <row r="355" spans="1:9" x14ac:dyDescent="0.3">
      <c r="A355">
        <v>4</v>
      </c>
      <c r="B355">
        <v>13</v>
      </c>
      <c r="C355">
        <v>4</v>
      </c>
      <c r="D355">
        <v>0</v>
      </c>
      <c r="E355">
        <v>4</v>
      </c>
      <c r="F355">
        <v>9</v>
      </c>
      <c r="G355">
        <v>4</v>
      </c>
      <c r="H355">
        <v>0</v>
      </c>
      <c r="I355">
        <v>4</v>
      </c>
    </row>
    <row r="356" spans="1:9" x14ac:dyDescent="0.3">
      <c r="A356">
        <v>5</v>
      </c>
      <c r="B356">
        <v>6</v>
      </c>
      <c r="C356">
        <v>2</v>
      </c>
      <c r="D356">
        <v>0</v>
      </c>
      <c r="E356">
        <v>2</v>
      </c>
      <c r="F356">
        <v>4</v>
      </c>
      <c r="G356">
        <v>2</v>
      </c>
      <c r="H356">
        <v>0</v>
      </c>
      <c r="I356">
        <v>2</v>
      </c>
    </row>
    <row r="357" spans="1:9" x14ac:dyDescent="0.3">
      <c r="A357">
        <v>6</v>
      </c>
      <c r="B357">
        <v>1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</row>
    <row r="358" spans="1:9" x14ac:dyDescent="0.3">
      <c r="A358">
        <v>7</v>
      </c>
      <c r="B358">
        <v>4</v>
      </c>
      <c r="C358">
        <v>0</v>
      </c>
      <c r="D358">
        <v>0</v>
      </c>
      <c r="E358">
        <v>0</v>
      </c>
      <c r="F358">
        <v>4</v>
      </c>
      <c r="G358">
        <v>0</v>
      </c>
      <c r="H358">
        <v>0</v>
      </c>
      <c r="I358">
        <v>0</v>
      </c>
    </row>
    <row r="359" spans="1:9" x14ac:dyDescent="0.3">
      <c r="A359">
        <v>2</v>
      </c>
      <c r="B359">
        <v>5</v>
      </c>
      <c r="C359">
        <v>4</v>
      </c>
      <c r="D359">
        <v>0</v>
      </c>
      <c r="E359">
        <v>4</v>
      </c>
      <c r="F359">
        <v>1</v>
      </c>
      <c r="G359">
        <v>4</v>
      </c>
      <c r="H359">
        <v>0</v>
      </c>
      <c r="I359">
        <v>4</v>
      </c>
    </row>
    <row r="360" spans="1:9" x14ac:dyDescent="0.3">
      <c r="A360">
        <v>3</v>
      </c>
      <c r="B360">
        <v>46</v>
      </c>
      <c r="C360">
        <v>24</v>
      </c>
      <c r="D360">
        <v>0</v>
      </c>
      <c r="E360">
        <v>24</v>
      </c>
      <c r="F360">
        <v>22</v>
      </c>
      <c r="G360">
        <v>19</v>
      </c>
      <c r="H360">
        <v>0</v>
      </c>
      <c r="I360">
        <v>19</v>
      </c>
    </row>
    <row r="361" spans="1:9" x14ac:dyDescent="0.3">
      <c r="A361">
        <v>4</v>
      </c>
      <c r="B361">
        <v>7</v>
      </c>
      <c r="C361">
        <v>2</v>
      </c>
      <c r="D361">
        <v>0</v>
      </c>
      <c r="E361">
        <v>2</v>
      </c>
      <c r="F361">
        <v>5</v>
      </c>
      <c r="G361">
        <v>2</v>
      </c>
      <c r="H361">
        <v>0</v>
      </c>
      <c r="I361">
        <v>2</v>
      </c>
    </row>
    <row r="362" spans="1:9" x14ac:dyDescent="0.3">
      <c r="A362">
        <v>5</v>
      </c>
      <c r="B362">
        <v>4</v>
      </c>
      <c r="C362">
        <v>3</v>
      </c>
      <c r="D362">
        <v>0</v>
      </c>
      <c r="E362">
        <v>3</v>
      </c>
      <c r="F362">
        <v>1</v>
      </c>
      <c r="G362">
        <v>3</v>
      </c>
      <c r="H362">
        <v>0</v>
      </c>
      <c r="I362">
        <v>3</v>
      </c>
    </row>
    <row r="363" spans="1:9" x14ac:dyDescent="0.3">
      <c r="A363">
        <v>6</v>
      </c>
      <c r="B363">
        <v>5</v>
      </c>
      <c r="C363">
        <v>0</v>
      </c>
      <c r="D363">
        <v>0</v>
      </c>
      <c r="E363">
        <v>0</v>
      </c>
      <c r="F363">
        <v>5</v>
      </c>
      <c r="G363">
        <v>0</v>
      </c>
      <c r="H363">
        <v>0</v>
      </c>
      <c r="I363">
        <v>0</v>
      </c>
    </row>
    <row r="364" spans="1:9" x14ac:dyDescent="0.3">
      <c r="A364">
        <v>7</v>
      </c>
      <c r="B364">
        <v>3</v>
      </c>
      <c r="C364">
        <v>0</v>
      </c>
      <c r="D364">
        <v>0</v>
      </c>
      <c r="E364">
        <v>0</v>
      </c>
      <c r="F364">
        <v>3</v>
      </c>
      <c r="G364">
        <v>0</v>
      </c>
      <c r="H364">
        <v>0</v>
      </c>
      <c r="I364">
        <v>0</v>
      </c>
    </row>
    <row r="365" spans="1:9" x14ac:dyDescent="0.3">
      <c r="A365">
        <v>2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0</v>
      </c>
      <c r="I365">
        <v>1</v>
      </c>
    </row>
    <row r="366" spans="1:9" x14ac:dyDescent="0.3">
      <c r="A366">
        <v>3</v>
      </c>
      <c r="B366">
        <v>41</v>
      </c>
      <c r="C366">
        <v>20</v>
      </c>
      <c r="D366">
        <v>0</v>
      </c>
      <c r="E366">
        <v>20</v>
      </c>
      <c r="F366">
        <v>21</v>
      </c>
      <c r="G366">
        <v>15</v>
      </c>
      <c r="H366">
        <v>0</v>
      </c>
      <c r="I366">
        <v>15</v>
      </c>
    </row>
    <row r="367" spans="1:9" x14ac:dyDescent="0.3">
      <c r="A367">
        <v>4</v>
      </c>
      <c r="B367">
        <v>11</v>
      </c>
      <c r="C367">
        <v>6</v>
      </c>
      <c r="D367">
        <v>0</v>
      </c>
      <c r="E367">
        <v>6</v>
      </c>
      <c r="F367">
        <v>5</v>
      </c>
      <c r="G367">
        <v>6</v>
      </c>
      <c r="H367">
        <v>0</v>
      </c>
      <c r="I367">
        <v>6</v>
      </c>
    </row>
    <row r="368" spans="1:9" x14ac:dyDescent="0.3">
      <c r="A368">
        <v>5</v>
      </c>
      <c r="B368">
        <v>6</v>
      </c>
      <c r="C368">
        <v>2</v>
      </c>
      <c r="D368">
        <v>0</v>
      </c>
      <c r="E368">
        <v>2</v>
      </c>
      <c r="F368">
        <v>4</v>
      </c>
      <c r="G368">
        <v>2</v>
      </c>
      <c r="H368">
        <v>0</v>
      </c>
      <c r="I368">
        <v>2</v>
      </c>
    </row>
    <row r="369" spans="1:9" x14ac:dyDescent="0.3">
      <c r="A369">
        <v>6</v>
      </c>
      <c r="B369">
        <v>7</v>
      </c>
      <c r="C369">
        <v>0</v>
      </c>
      <c r="D369">
        <v>0</v>
      </c>
      <c r="E369">
        <v>0</v>
      </c>
      <c r="F369">
        <v>7</v>
      </c>
      <c r="G369">
        <v>0</v>
      </c>
      <c r="H369">
        <v>0</v>
      </c>
      <c r="I369">
        <v>0</v>
      </c>
    </row>
    <row r="370" spans="1:9" x14ac:dyDescent="0.3">
      <c r="A370">
        <v>7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</row>
    <row r="371" spans="1:9" x14ac:dyDescent="0.3">
      <c r="A371">
        <v>8</v>
      </c>
      <c r="B371">
        <v>1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</row>
    <row r="372" spans="1:9" x14ac:dyDescent="0.3">
      <c r="A372">
        <v>2</v>
      </c>
      <c r="B372">
        <v>2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0</v>
      </c>
      <c r="I372">
        <v>1</v>
      </c>
    </row>
    <row r="373" spans="1:9" x14ac:dyDescent="0.3">
      <c r="A373">
        <v>3</v>
      </c>
      <c r="B373">
        <v>40</v>
      </c>
      <c r="C373">
        <v>15</v>
      </c>
      <c r="D373">
        <v>0</v>
      </c>
      <c r="E373">
        <v>15</v>
      </c>
      <c r="F373">
        <v>25</v>
      </c>
      <c r="G373">
        <v>13</v>
      </c>
      <c r="H373">
        <v>0</v>
      </c>
      <c r="I373">
        <v>13</v>
      </c>
    </row>
    <row r="374" spans="1:9" x14ac:dyDescent="0.3">
      <c r="A374">
        <v>4</v>
      </c>
      <c r="B374">
        <v>10</v>
      </c>
      <c r="C374">
        <v>3</v>
      </c>
      <c r="D374">
        <v>0</v>
      </c>
      <c r="E374">
        <v>3</v>
      </c>
      <c r="F374">
        <v>7</v>
      </c>
      <c r="G374">
        <v>3</v>
      </c>
      <c r="H374">
        <v>0</v>
      </c>
      <c r="I374">
        <v>3</v>
      </c>
    </row>
    <row r="375" spans="1:9" x14ac:dyDescent="0.3">
      <c r="A375">
        <v>5</v>
      </c>
      <c r="B375">
        <v>8</v>
      </c>
      <c r="C375">
        <v>1</v>
      </c>
      <c r="D375">
        <v>0</v>
      </c>
      <c r="E375">
        <v>1</v>
      </c>
      <c r="F375">
        <v>7</v>
      </c>
      <c r="G375">
        <v>1</v>
      </c>
      <c r="H375">
        <v>0</v>
      </c>
      <c r="I375">
        <v>1</v>
      </c>
    </row>
    <row r="376" spans="1:9" x14ac:dyDescent="0.3">
      <c r="A376">
        <v>6</v>
      </c>
      <c r="B376">
        <v>3</v>
      </c>
      <c r="C376">
        <v>0</v>
      </c>
      <c r="D376">
        <v>0</v>
      </c>
      <c r="E376">
        <v>0</v>
      </c>
      <c r="F376">
        <v>3</v>
      </c>
      <c r="G376">
        <v>0</v>
      </c>
      <c r="H376">
        <v>0</v>
      </c>
      <c r="I376">
        <v>0</v>
      </c>
    </row>
    <row r="377" spans="1:9" x14ac:dyDescent="0.3">
      <c r="A377">
        <v>7</v>
      </c>
      <c r="B377">
        <v>1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</row>
    <row r="378" spans="1:9" x14ac:dyDescent="0.3">
      <c r="A378">
        <v>8</v>
      </c>
      <c r="B378">
        <v>6</v>
      </c>
      <c r="C378">
        <v>0</v>
      </c>
      <c r="D378">
        <v>0</v>
      </c>
      <c r="E378">
        <v>0</v>
      </c>
      <c r="F378">
        <v>6</v>
      </c>
      <c r="G378">
        <v>0</v>
      </c>
      <c r="H378">
        <v>0</v>
      </c>
      <c r="I378">
        <v>0</v>
      </c>
    </row>
    <row r="379" spans="1:9" x14ac:dyDescent="0.3">
      <c r="A379">
        <v>2</v>
      </c>
      <c r="B379">
        <v>5</v>
      </c>
      <c r="C379">
        <v>2</v>
      </c>
      <c r="D379">
        <v>0</v>
      </c>
      <c r="E379">
        <v>2</v>
      </c>
      <c r="F379">
        <v>3</v>
      </c>
      <c r="G379">
        <v>2</v>
      </c>
      <c r="H379">
        <v>0</v>
      </c>
      <c r="I379">
        <v>2</v>
      </c>
    </row>
    <row r="380" spans="1:9" x14ac:dyDescent="0.3">
      <c r="A380">
        <v>3</v>
      </c>
      <c r="B380">
        <v>43</v>
      </c>
      <c r="C380">
        <v>19</v>
      </c>
      <c r="D380">
        <v>0</v>
      </c>
      <c r="E380">
        <v>19</v>
      </c>
      <c r="F380">
        <v>24</v>
      </c>
      <c r="G380">
        <v>13</v>
      </c>
      <c r="H380">
        <v>0</v>
      </c>
      <c r="I380">
        <v>13</v>
      </c>
    </row>
    <row r="381" spans="1:9" x14ac:dyDescent="0.3">
      <c r="A381">
        <v>4</v>
      </c>
      <c r="B381">
        <v>3</v>
      </c>
      <c r="C381">
        <v>1</v>
      </c>
      <c r="D381">
        <v>0</v>
      </c>
      <c r="E381">
        <v>1</v>
      </c>
      <c r="F381">
        <v>2</v>
      </c>
      <c r="G381">
        <v>1</v>
      </c>
      <c r="H381">
        <v>0</v>
      </c>
      <c r="I381">
        <v>1</v>
      </c>
    </row>
    <row r="382" spans="1:9" x14ac:dyDescent="0.3">
      <c r="A382">
        <v>5</v>
      </c>
      <c r="B382">
        <v>7</v>
      </c>
      <c r="C382">
        <v>3</v>
      </c>
      <c r="D382">
        <v>0</v>
      </c>
      <c r="E382">
        <v>3</v>
      </c>
      <c r="F382">
        <v>4</v>
      </c>
      <c r="G382">
        <v>3</v>
      </c>
      <c r="H382">
        <v>0</v>
      </c>
      <c r="I382">
        <v>3</v>
      </c>
    </row>
    <row r="383" spans="1:9" x14ac:dyDescent="0.3">
      <c r="A383">
        <v>6</v>
      </c>
      <c r="B383">
        <v>6</v>
      </c>
      <c r="C383">
        <v>0</v>
      </c>
      <c r="D383">
        <v>0</v>
      </c>
      <c r="E383">
        <v>0</v>
      </c>
      <c r="F383">
        <v>6</v>
      </c>
      <c r="G383">
        <v>0</v>
      </c>
      <c r="H383">
        <v>0</v>
      </c>
      <c r="I383">
        <v>0</v>
      </c>
    </row>
    <row r="384" spans="1:9" x14ac:dyDescent="0.3">
      <c r="A384">
        <v>7</v>
      </c>
      <c r="B384">
        <v>3</v>
      </c>
      <c r="C384">
        <v>0</v>
      </c>
      <c r="D384">
        <v>0</v>
      </c>
      <c r="E384">
        <v>0</v>
      </c>
      <c r="F384">
        <v>3</v>
      </c>
      <c r="G384">
        <v>0</v>
      </c>
      <c r="H384">
        <v>0</v>
      </c>
      <c r="I384">
        <v>0</v>
      </c>
    </row>
    <row r="385" spans="1:9" x14ac:dyDescent="0.3">
      <c r="A385">
        <v>8</v>
      </c>
      <c r="B385">
        <v>3</v>
      </c>
      <c r="C385">
        <v>0</v>
      </c>
      <c r="D385">
        <v>0</v>
      </c>
      <c r="E385">
        <v>0</v>
      </c>
      <c r="F385">
        <v>3</v>
      </c>
      <c r="G385">
        <v>0</v>
      </c>
      <c r="H385">
        <v>0</v>
      </c>
      <c r="I385">
        <v>0</v>
      </c>
    </row>
    <row r="386" spans="1:9" x14ac:dyDescent="0.3">
      <c r="A386">
        <v>2</v>
      </c>
      <c r="B386">
        <v>6</v>
      </c>
      <c r="C386">
        <v>4</v>
      </c>
      <c r="D386">
        <v>0</v>
      </c>
      <c r="E386">
        <v>4</v>
      </c>
      <c r="F386">
        <v>2</v>
      </c>
      <c r="G386">
        <v>4</v>
      </c>
      <c r="H386">
        <v>0</v>
      </c>
      <c r="I386">
        <v>4</v>
      </c>
    </row>
    <row r="387" spans="1:9" x14ac:dyDescent="0.3">
      <c r="A387">
        <v>3</v>
      </c>
      <c r="B387">
        <v>40</v>
      </c>
      <c r="C387">
        <v>17</v>
      </c>
      <c r="D387">
        <v>0</v>
      </c>
      <c r="E387">
        <v>17</v>
      </c>
      <c r="F387">
        <v>23</v>
      </c>
      <c r="G387">
        <v>10</v>
      </c>
      <c r="H387">
        <v>0</v>
      </c>
      <c r="I387">
        <v>10</v>
      </c>
    </row>
    <row r="388" spans="1:9" x14ac:dyDescent="0.3">
      <c r="A388">
        <v>4</v>
      </c>
      <c r="B388">
        <v>9</v>
      </c>
      <c r="C388">
        <v>3</v>
      </c>
      <c r="D388">
        <v>0</v>
      </c>
      <c r="E388">
        <v>3</v>
      </c>
      <c r="F388">
        <v>6</v>
      </c>
      <c r="G388">
        <v>3</v>
      </c>
      <c r="H388">
        <v>0</v>
      </c>
      <c r="I388">
        <v>3</v>
      </c>
    </row>
    <row r="389" spans="1:9" x14ac:dyDescent="0.3">
      <c r="A389">
        <v>5</v>
      </c>
      <c r="B389">
        <v>6</v>
      </c>
      <c r="C389">
        <v>2</v>
      </c>
      <c r="D389">
        <v>0</v>
      </c>
      <c r="E389">
        <v>2</v>
      </c>
      <c r="F389">
        <v>4</v>
      </c>
      <c r="G389">
        <v>2</v>
      </c>
      <c r="H389">
        <v>0</v>
      </c>
      <c r="I389">
        <v>2</v>
      </c>
    </row>
    <row r="390" spans="1:9" x14ac:dyDescent="0.3">
      <c r="A390">
        <v>6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0</v>
      </c>
      <c r="I390">
        <v>0</v>
      </c>
    </row>
    <row r="391" spans="1:9" x14ac:dyDescent="0.3">
      <c r="A391">
        <v>7</v>
      </c>
      <c r="B391">
        <v>5</v>
      </c>
      <c r="C391">
        <v>0</v>
      </c>
      <c r="D391">
        <v>0</v>
      </c>
      <c r="E391">
        <v>0</v>
      </c>
      <c r="F391">
        <v>5</v>
      </c>
      <c r="G391">
        <v>0</v>
      </c>
      <c r="H391">
        <v>0</v>
      </c>
      <c r="I391">
        <v>0</v>
      </c>
    </row>
    <row r="392" spans="1:9" x14ac:dyDescent="0.3">
      <c r="A392">
        <v>8</v>
      </c>
      <c r="B392">
        <v>2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0</v>
      </c>
    </row>
    <row r="393" spans="1:9" x14ac:dyDescent="0.3">
      <c r="A393">
        <v>2</v>
      </c>
      <c r="B393">
        <v>5</v>
      </c>
      <c r="C393">
        <v>4</v>
      </c>
      <c r="D393">
        <v>0</v>
      </c>
      <c r="E393">
        <v>4</v>
      </c>
      <c r="F393">
        <v>1</v>
      </c>
      <c r="G393">
        <v>4</v>
      </c>
      <c r="H393">
        <v>0</v>
      </c>
      <c r="I393">
        <v>4</v>
      </c>
    </row>
    <row r="394" spans="1:9" x14ac:dyDescent="0.3">
      <c r="A394">
        <v>3</v>
      </c>
      <c r="B394">
        <v>41</v>
      </c>
      <c r="C394">
        <v>20</v>
      </c>
      <c r="D394">
        <v>0</v>
      </c>
      <c r="E394">
        <v>20</v>
      </c>
      <c r="F394">
        <v>21</v>
      </c>
      <c r="G394">
        <v>8</v>
      </c>
      <c r="H394">
        <v>0</v>
      </c>
      <c r="I394">
        <v>8</v>
      </c>
    </row>
    <row r="395" spans="1:9" x14ac:dyDescent="0.3">
      <c r="A395">
        <v>4</v>
      </c>
      <c r="B395">
        <v>9</v>
      </c>
      <c r="C395">
        <v>1</v>
      </c>
      <c r="D395">
        <v>0</v>
      </c>
      <c r="E395">
        <v>1</v>
      </c>
      <c r="F395">
        <v>8</v>
      </c>
      <c r="G395">
        <v>1</v>
      </c>
      <c r="H395">
        <v>0</v>
      </c>
      <c r="I395">
        <v>1</v>
      </c>
    </row>
    <row r="396" spans="1:9" x14ac:dyDescent="0.3">
      <c r="A396">
        <v>5</v>
      </c>
      <c r="B396">
        <v>4</v>
      </c>
      <c r="C396">
        <v>0</v>
      </c>
      <c r="D396">
        <v>0</v>
      </c>
      <c r="E396">
        <v>0</v>
      </c>
      <c r="F396">
        <v>4</v>
      </c>
      <c r="G396">
        <v>0</v>
      </c>
      <c r="H396">
        <v>0</v>
      </c>
      <c r="I396">
        <v>0</v>
      </c>
    </row>
    <row r="397" spans="1:9" x14ac:dyDescent="0.3">
      <c r="A397">
        <v>6</v>
      </c>
      <c r="B397">
        <v>5</v>
      </c>
      <c r="C397">
        <v>0</v>
      </c>
      <c r="D397">
        <v>0</v>
      </c>
      <c r="E397">
        <v>0</v>
      </c>
      <c r="F397">
        <v>5</v>
      </c>
      <c r="G397">
        <v>0</v>
      </c>
      <c r="H397">
        <v>0</v>
      </c>
      <c r="I397">
        <v>0</v>
      </c>
    </row>
    <row r="398" spans="1:9" x14ac:dyDescent="0.3">
      <c r="A398">
        <v>7</v>
      </c>
      <c r="B398">
        <v>1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</row>
    <row r="399" spans="1:9" x14ac:dyDescent="0.3">
      <c r="A399">
        <v>8</v>
      </c>
      <c r="B399">
        <v>5</v>
      </c>
      <c r="C399">
        <v>0</v>
      </c>
      <c r="D399">
        <v>0</v>
      </c>
      <c r="E399">
        <v>0</v>
      </c>
      <c r="F399">
        <v>5</v>
      </c>
      <c r="G399">
        <v>0</v>
      </c>
      <c r="H399">
        <v>0</v>
      </c>
      <c r="I399">
        <v>0</v>
      </c>
    </row>
    <row r="400" spans="1:9" x14ac:dyDescent="0.3">
      <c r="A400">
        <v>2</v>
      </c>
      <c r="B400">
        <v>5</v>
      </c>
      <c r="C400">
        <v>3</v>
      </c>
      <c r="D400">
        <v>0</v>
      </c>
      <c r="E400">
        <v>3</v>
      </c>
      <c r="F400">
        <v>2</v>
      </c>
      <c r="G400">
        <v>3</v>
      </c>
      <c r="H400">
        <v>0</v>
      </c>
      <c r="I400">
        <v>3</v>
      </c>
    </row>
    <row r="401" spans="1:9" x14ac:dyDescent="0.3">
      <c r="A401">
        <v>3</v>
      </c>
      <c r="B401">
        <v>42</v>
      </c>
      <c r="C401">
        <v>23</v>
      </c>
      <c r="D401">
        <v>0</v>
      </c>
      <c r="E401">
        <v>23</v>
      </c>
      <c r="F401">
        <v>19</v>
      </c>
      <c r="G401">
        <v>15</v>
      </c>
      <c r="H401">
        <v>0</v>
      </c>
      <c r="I401">
        <v>15</v>
      </c>
    </row>
    <row r="402" spans="1:9" x14ac:dyDescent="0.3">
      <c r="A402">
        <v>4</v>
      </c>
      <c r="B402">
        <v>8</v>
      </c>
      <c r="C402">
        <v>3</v>
      </c>
      <c r="D402">
        <v>0</v>
      </c>
      <c r="E402">
        <v>3</v>
      </c>
      <c r="F402">
        <v>5</v>
      </c>
      <c r="G402">
        <v>3</v>
      </c>
      <c r="H402">
        <v>0</v>
      </c>
      <c r="I402">
        <v>3</v>
      </c>
    </row>
    <row r="403" spans="1:9" x14ac:dyDescent="0.3">
      <c r="A403">
        <v>5</v>
      </c>
      <c r="B403">
        <v>4</v>
      </c>
      <c r="C403">
        <v>1</v>
      </c>
      <c r="D403">
        <v>0</v>
      </c>
      <c r="E403">
        <v>1</v>
      </c>
      <c r="F403">
        <v>3</v>
      </c>
      <c r="G403">
        <v>1</v>
      </c>
      <c r="H403">
        <v>0</v>
      </c>
      <c r="I403">
        <v>1</v>
      </c>
    </row>
    <row r="404" spans="1:9" x14ac:dyDescent="0.3">
      <c r="A404">
        <v>6</v>
      </c>
      <c r="B404">
        <v>4</v>
      </c>
      <c r="C404">
        <v>0</v>
      </c>
      <c r="D404">
        <v>0</v>
      </c>
      <c r="E404">
        <v>0</v>
      </c>
      <c r="F404">
        <v>4</v>
      </c>
      <c r="G404">
        <v>0</v>
      </c>
      <c r="H404">
        <v>0</v>
      </c>
      <c r="I404">
        <v>0</v>
      </c>
    </row>
    <row r="405" spans="1:9" x14ac:dyDescent="0.3">
      <c r="A405">
        <v>7</v>
      </c>
      <c r="B405">
        <v>6</v>
      </c>
      <c r="C405">
        <v>0</v>
      </c>
      <c r="D405">
        <v>0</v>
      </c>
      <c r="E405">
        <v>0</v>
      </c>
      <c r="F405">
        <v>6</v>
      </c>
      <c r="G405">
        <v>0</v>
      </c>
      <c r="H405">
        <v>0</v>
      </c>
      <c r="I405">
        <v>0</v>
      </c>
    </row>
    <row r="406" spans="1:9" x14ac:dyDescent="0.3">
      <c r="A406">
        <v>8</v>
      </c>
      <c r="B406">
        <v>1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</row>
    <row r="407" spans="1:9" x14ac:dyDescent="0.3">
      <c r="A407">
        <v>2</v>
      </c>
      <c r="B407">
        <v>8</v>
      </c>
      <c r="C407">
        <v>4</v>
      </c>
      <c r="D407">
        <v>0</v>
      </c>
      <c r="E407">
        <v>4</v>
      </c>
      <c r="F407">
        <v>4</v>
      </c>
      <c r="G407">
        <v>4</v>
      </c>
      <c r="H407">
        <v>0</v>
      </c>
      <c r="I407">
        <v>4</v>
      </c>
    </row>
    <row r="408" spans="1:9" x14ac:dyDescent="0.3">
      <c r="A408">
        <v>3</v>
      </c>
      <c r="B408">
        <v>35</v>
      </c>
      <c r="C408">
        <v>14</v>
      </c>
      <c r="D408">
        <v>0</v>
      </c>
      <c r="E408">
        <v>14</v>
      </c>
      <c r="F408">
        <v>21</v>
      </c>
      <c r="G408">
        <v>8</v>
      </c>
      <c r="H408">
        <v>0</v>
      </c>
      <c r="I408">
        <v>8</v>
      </c>
    </row>
    <row r="409" spans="1:9" x14ac:dyDescent="0.3">
      <c r="A409">
        <v>4</v>
      </c>
      <c r="B409">
        <v>12</v>
      </c>
      <c r="C409">
        <v>4</v>
      </c>
      <c r="D409">
        <v>0</v>
      </c>
      <c r="E409">
        <v>4</v>
      </c>
      <c r="F409">
        <v>8</v>
      </c>
      <c r="G409">
        <v>4</v>
      </c>
      <c r="H409">
        <v>0</v>
      </c>
      <c r="I409">
        <v>4</v>
      </c>
    </row>
    <row r="410" spans="1:9" x14ac:dyDescent="0.3">
      <c r="A410">
        <v>5</v>
      </c>
      <c r="B410">
        <v>4</v>
      </c>
      <c r="C410">
        <v>0</v>
      </c>
      <c r="D410">
        <v>0</v>
      </c>
      <c r="E410">
        <v>0</v>
      </c>
      <c r="F410">
        <v>4</v>
      </c>
      <c r="G410">
        <v>0</v>
      </c>
      <c r="H410">
        <v>0</v>
      </c>
      <c r="I410">
        <v>0</v>
      </c>
    </row>
    <row r="411" spans="1:9" x14ac:dyDescent="0.3">
      <c r="A411">
        <v>6</v>
      </c>
      <c r="B411">
        <v>5</v>
      </c>
      <c r="C411">
        <v>0</v>
      </c>
      <c r="D411">
        <v>0</v>
      </c>
      <c r="E411">
        <v>0</v>
      </c>
      <c r="F411">
        <v>5</v>
      </c>
      <c r="G411">
        <v>0</v>
      </c>
      <c r="H411">
        <v>0</v>
      </c>
      <c r="I411">
        <v>0</v>
      </c>
    </row>
    <row r="412" spans="1:9" x14ac:dyDescent="0.3">
      <c r="A412">
        <v>7</v>
      </c>
      <c r="B412">
        <v>3</v>
      </c>
      <c r="C412">
        <v>0</v>
      </c>
      <c r="D412">
        <v>0</v>
      </c>
      <c r="E412">
        <v>0</v>
      </c>
      <c r="F412">
        <v>3</v>
      </c>
      <c r="G412">
        <v>0</v>
      </c>
      <c r="H412">
        <v>0</v>
      </c>
      <c r="I412">
        <v>0</v>
      </c>
    </row>
    <row r="413" spans="1:9" x14ac:dyDescent="0.3">
      <c r="A413">
        <v>8</v>
      </c>
      <c r="B413">
        <v>3</v>
      </c>
      <c r="C413">
        <v>0</v>
      </c>
      <c r="D413">
        <v>0</v>
      </c>
      <c r="E413">
        <v>0</v>
      </c>
      <c r="F413">
        <v>3</v>
      </c>
      <c r="G413">
        <v>0</v>
      </c>
      <c r="H413">
        <v>0</v>
      </c>
      <c r="I413">
        <v>0</v>
      </c>
    </row>
    <row r="414" spans="1:9" x14ac:dyDescent="0.3">
      <c r="A414">
        <v>2</v>
      </c>
      <c r="B414">
        <v>5</v>
      </c>
      <c r="C414">
        <v>3</v>
      </c>
      <c r="D414">
        <v>0</v>
      </c>
      <c r="E414">
        <v>3</v>
      </c>
      <c r="F414">
        <v>2</v>
      </c>
      <c r="G414">
        <v>3</v>
      </c>
      <c r="H414">
        <v>0</v>
      </c>
      <c r="I414">
        <v>3</v>
      </c>
    </row>
    <row r="415" spans="1:9" x14ac:dyDescent="0.3">
      <c r="A415">
        <v>3</v>
      </c>
      <c r="B415">
        <v>39</v>
      </c>
      <c r="C415">
        <v>17</v>
      </c>
      <c r="D415">
        <v>0</v>
      </c>
      <c r="E415">
        <v>17</v>
      </c>
      <c r="F415">
        <v>22</v>
      </c>
      <c r="G415">
        <v>13</v>
      </c>
      <c r="H415">
        <v>0</v>
      </c>
      <c r="I415">
        <v>13</v>
      </c>
    </row>
    <row r="416" spans="1:9" x14ac:dyDescent="0.3">
      <c r="A416">
        <v>4</v>
      </c>
      <c r="B416">
        <v>12</v>
      </c>
      <c r="C416">
        <v>6</v>
      </c>
      <c r="D416">
        <v>0</v>
      </c>
      <c r="E416">
        <v>6</v>
      </c>
      <c r="F416">
        <v>6</v>
      </c>
      <c r="G416">
        <v>6</v>
      </c>
      <c r="H416">
        <v>0</v>
      </c>
      <c r="I416">
        <v>6</v>
      </c>
    </row>
    <row r="417" spans="1:9" x14ac:dyDescent="0.3">
      <c r="A417">
        <v>5</v>
      </c>
      <c r="B417">
        <v>7</v>
      </c>
      <c r="C417">
        <v>3</v>
      </c>
      <c r="D417">
        <v>0</v>
      </c>
      <c r="E417">
        <v>3</v>
      </c>
      <c r="F417">
        <v>4</v>
      </c>
      <c r="G417">
        <v>3</v>
      </c>
      <c r="H417">
        <v>0</v>
      </c>
      <c r="I417">
        <v>3</v>
      </c>
    </row>
    <row r="418" spans="1:9" x14ac:dyDescent="0.3">
      <c r="A418">
        <v>6</v>
      </c>
      <c r="B418">
        <v>5</v>
      </c>
      <c r="C418">
        <v>0</v>
      </c>
      <c r="D418">
        <v>0</v>
      </c>
      <c r="E418">
        <v>0</v>
      </c>
      <c r="F418">
        <v>5</v>
      </c>
      <c r="G418">
        <v>0</v>
      </c>
      <c r="H418">
        <v>0</v>
      </c>
      <c r="I418">
        <v>0</v>
      </c>
    </row>
    <row r="419" spans="1:9" x14ac:dyDescent="0.3">
      <c r="A419">
        <v>7</v>
      </c>
      <c r="B419">
        <v>1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</row>
    <row r="420" spans="1:9" x14ac:dyDescent="0.3">
      <c r="A420">
        <v>8</v>
      </c>
      <c r="B420">
        <v>1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</row>
    <row r="421" spans="1:9" x14ac:dyDescent="0.3">
      <c r="A421">
        <v>2</v>
      </c>
      <c r="B421">
        <v>7</v>
      </c>
      <c r="C421">
        <v>2</v>
      </c>
      <c r="D421">
        <v>0</v>
      </c>
      <c r="E421">
        <v>2</v>
      </c>
      <c r="F421">
        <v>5</v>
      </c>
      <c r="G421">
        <v>2</v>
      </c>
      <c r="H421">
        <v>0</v>
      </c>
      <c r="I421">
        <v>2</v>
      </c>
    </row>
    <row r="422" spans="1:9" x14ac:dyDescent="0.3">
      <c r="A422">
        <v>3</v>
      </c>
      <c r="B422">
        <v>39</v>
      </c>
      <c r="C422">
        <v>19</v>
      </c>
      <c r="D422">
        <v>0</v>
      </c>
      <c r="E422">
        <v>19</v>
      </c>
      <c r="F422">
        <v>20</v>
      </c>
      <c r="G422">
        <v>14</v>
      </c>
      <c r="H422">
        <v>0</v>
      </c>
      <c r="I422">
        <v>14</v>
      </c>
    </row>
    <row r="423" spans="1:9" x14ac:dyDescent="0.3">
      <c r="A423">
        <v>4</v>
      </c>
      <c r="B423">
        <v>11</v>
      </c>
      <c r="C423">
        <v>2</v>
      </c>
      <c r="D423">
        <v>0</v>
      </c>
      <c r="E423">
        <v>2</v>
      </c>
      <c r="F423">
        <v>9</v>
      </c>
      <c r="G423">
        <v>2</v>
      </c>
      <c r="H423">
        <v>0</v>
      </c>
      <c r="I423">
        <v>2</v>
      </c>
    </row>
    <row r="424" spans="1:9" x14ac:dyDescent="0.3">
      <c r="A424">
        <v>5</v>
      </c>
      <c r="B424">
        <v>5</v>
      </c>
      <c r="C424">
        <v>2</v>
      </c>
      <c r="D424">
        <v>0</v>
      </c>
      <c r="E424">
        <v>2</v>
      </c>
      <c r="F424">
        <v>3</v>
      </c>
      <c r="G424">
        <v>2</v>
      </c>
      <c r="H424">
        <v>0</v>
      </c>
      <c r="I424">
        <v>2</v>
      </c>
    </row>
    <row r="425" spans="1:9" x14ac:dyDescent="0.3">
      <c r="A425">
        <v>6</v>
      </c>
      <c r="B425">
        <v>4</v>
      </c>
      <c r="C425">
        <v>0</v>
      </c>
      <c r="D425">
        <v>0</v>
      </c>
      <c r="E425">
        <v>0</v>
      </c>
      <c r="F425">
        <v>4</v>
      </c>
      <c r="G425">
        <v>0</v>
      </c>
      <c r="H425">
        <v>0</v>
      </c>
      <c r="I425">
        <v>0</v>
      </c>
    </row>
    <row r="426" spans="1:9" x14ac:dyDescent="0.3">
      <c r="A426">
        <v>7</v>
      </c>
      <c r="B426">
        <v>3</v>
      </c>
      <c r="C426">
        <v>0</v>
      </c>
      <c r="D426">
        <v>0</v>
      </c>
      <c r="E426">
        <v>0</v>
      </c>
      <c r="F426">
        <v>3</v>
      </c>
      <c r="G426">
        <v>0</v>
      </c>
      <c r="H426">
        <v>0</v>
      </c>
      <c r="I426">
        <v>0</v>
      </c>
    </row>
    <row r="427" spans="1:9" x14ac:dyDescent="0.3">
      <c r="A427">
        <v>8</v>
      </c>
      <c r="B427">
        <v>1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</row>
    <row r="428" spans="1:9" x14ac:dyDescent="0.3">
      <c r="A428">
        <v>2</v>
      </c>
      <c r="B428">
        <v>5</v>
      </c>
      <c r="C428">
        <v>4</v>
      </c>
      <c r="D428">
        <v>0</v>
      </c>
      <c r="E428">
        <v>4</v>
      </c>
      <c r="F428">
        <v>1</v>
      </c>
      <c r="G428">
        <v>4</v>
      </c>
      <c r="H428">
        <v>0</v>
      </c>
      <c r="I428">
        <v>4</v>
      </c>
    </row>
    <row r="429" spans="1:9" x14ac:dyDescent="0.3">
      <c r="A429">
        <v>3</v>
      </c>
      <c r="B429">
        <v>40</v>
      </c>
      <c r="C429">
        <v>22</v>
      </c>
      <c r="D429">
        <v>0</v>
      </c>
      <c r="E429">
        <v>22</v>
      </c>
      <c r="F429">
        <v>18</v>
      </c>
      <c r="G429">
        <v>15</v>
      </c>
      <c r="H429">
        <v>0</v>
      </c>
      <c r="I429">
        <v>15</v>
      </c>
    </row>
    <row r="430" spans="1:9" x14ac:dyDescent="0.3">
      <c r="A430">
        <v>4</v>
      </c>
      <c r="B430">
        <v>10</v>
      </c>
      <c r="C430">
        <v>5</v>
      </c>
      <c r="D430">
        <v>0</v>
      </c>
      <c r="E430">
        <v>5</v>
      </c>
      <c r="F430">
        <v>5</v>
      </c>
      <c r="G430">
        <v>5</v>
      </c>
      <c r="H430">
        <v>0</v>
      </c>
      <c r="I430">
        <v>5</v>
      </c>
    </row>
    <row r="431" spans="1:9" x14ac:dyDescent="0.3">
      <c r="A431">
        <v>5</v>
      </c>
      <c r="B431">
        <v>4</v>
      </c>
      <c r="C431">
        <v>2</v>
      </c>
      <c r="D431">
        <v>0</v>
      </c>
      <c r="E431">
        <v>2</v>
      </c>
      <c r="F431">
        <v>2</v>
      </c>
      <c r="G431">
        <v>2</v>
      </c>
      <c r="H431">
        <v>0</v>
      </c>
      <c r="I431">
        <v>2</v>
      </c>
    </row>
    <row r="432" spans="1:9" x14ac:dyDescent="0.3">
      <c r="A432">
        <v>6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0</v>
      </c>
      <c r="H432">
        <v>0</v>
      </c>
      <c r="I432">
        <v>0</v>
      </c>
    </row>
    <row r="433" spans="1:9" x14ac:dyDescent="0.3">
      <c r="A433">
        <v>7</v>
      </c>
      <c r="B433">
        <v>4</v>
      </c>
      <c r="C433">
        <v>0</v>
      </c>
      <c r="D433">
        <v>0</v>
      </c>
      <c r="E433">
        <v>0</v>
      </c>
      <c r="F433">
        <v>4</v>
      </c>
      <c r="G433">
        <v>0</v>
      </c>
      <c r="H433">
        <v>0</v>
      </c>
      <c r="I433">
        <v>0</v>
      </c>
    </row>
    <row r="434" spans="1:9" x14ac:dyDescent="0.3">
      <c r="A434">
        <v>8</v>
      </c>
      <c r="B434">
        <v>5</v>
      </c>
      <c r="C434">
        <v>0</v>
      </c>
      <c r="D434">
        <v>0</v>
      </c>
      <c r="E434">
        <v>0</v>
      </c>
      <c r="F434">
        <v>5</v>
      </c>
      <c r="G434">
        <v>0</v>
      </c>
      <c r="H434">
        <v>0</v>
      </c>
      <c r="I434">
        <v>0</v>
      </c>
    </row>
    <row r="435" spans="1:9" x14ac:dyDescent="0.3">
      <c r="A435">
        <v>2</v>
      </c>
      <c r="B435">
        <v>6</v>
      </c>
      <c r="C435">
        <v>2</v>
      </c>
      <c r="D435">
        <v>0</v>
      </c>
      <c r="E435">
        <v>2</v>
      </c>
      <c r="F435">
        <v>4</v>
      </c>
      <c r="G435">
        <v>2</v>
      </c>
      <c r="H435">
        <v>0</v>
      </c>
      <c r="I435">
        <v>2</v>
      </c>
    </row>
    <row r="436" spans="1:9" x14ac:dyDescent="0.3">
      <c r="A436">
        <v>3</v>
      </c>
      <c r="B436">
        <v>39</v>
      </c>
      <c r="C436">
        <v>20</v>
      </c>
      <c r="D436">
        <v>0</v>
      </c>
      <c r="E436">
        <v>20</v>
      </c>
      <c r="F436">
        <v>19</v>
      </c>
      <c r="G436">
        <v>15</v>
      </c>
      <c r="H436">
        <v>0</v>
      </c>
      <c r="I436">
        <v>15</v>
      </c>
    </row>
    <row r="437" spans="1:9" x14ac:dyDescent="0.3">
      <c r="A437">
        <v>4</v>
      </c>
      <c r="B437">
        <v>11</v>
      </c>
      <c r="C437">
        <v>5</v>
      </c>
      <c r="D437">
        <v>0</v>
      </c>
      <c r="E437">
        <v>5</v>
      </c>
      <c r="F437">
        <v>6</v>
      </c>
      <c r="G437">
        <v>5</v>
      </c>
      <c r="H437">
        <v>0</v>
      </c>
      <c r="I437">
        <v>5</v>
      </c>
    </row>
    <row r="438" spans="1:9" x14ac:dyDescent="0.3">
      <c r="A438">
        <v>5</v>
      </c>
      <c r="B438">
        <v>7</v>
      </c>
      <c r="C438">
        <v>2</v>
      </c>
      <c r="D438">
        <v>0</v>
      </c>
      <c r="E438">
        <v>2</v>
      </c>
      <c r="F438">
        <v>5</v>
      </c>
      <c r="G438">
        <v>2</v>
      </c>
      <c r="H438">
        <v>0</v>
      </c>
      <c r="I438">
        <v>2</v>
      </c>
    </row>
    <row r="439" spans="1:9" x14ac:dyDescent="0.3">
      <c r="A439">
        <v>6</v>
      </c>
      <c r="B439">
        <v>4</v>
      </c>
      <c r="C439">
        <v>0</v>
      </c>
      <c r="D439">
        <v>0</v>
      </c>
      <c r="E439">
        <v>0</v>
      </c>
      <c r="F439">
        <v>4</v>
      </c>
      <c r="G439">
        <v>0</v>
      </c>
      <c r="H439">
        <v>0</v>
      </c>
      <c r="I439">
        <v>0</v>
      </c>
    </row>
    <row r="440" spans="1:9" x14ac:dyDescent="0.3">
      <c r="A440">
        <v>7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0</v>
      </c>
    </row>
    <row r="441" spans="1:9" x14ac:dyDescent="0.3">
      <c r="A441">
        <v>8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</row>
    <row r="442" spans="1:9" x14ac:dyDescent="0.3">
      <c r="A442">
        <v>2</v>
      </c>
      <c r="B442">
        <v>3</v>
      </c>
      <c r="C442">
        <v>1</v>
      </c>
      <c r="D442">
        <v>0</v>
      </c>
      <c r="E442">
        <v>1</v>
      </c>
      <c r="F442">
        <v>2</v>
      </c>
      <c r="G442">
        <v>1</v>
      </c>
      <c r="H442">
        <v>0</v>
      </c>
      <c r="I442">
        <v>1</v>
      </c>
    </row>
    <row r="443" spans="1:9" x14ac:dyDescent="0.3">
      <c r="A443">
        <v>3</v>
      </c>
      <c r="B443">
        <v>36</v>
      </c>
      <c r="C443">
        <v>13</v>
      </c>
      <c r="D443">
        <v>0</v>
      </c>
      <c r="E443">
        <v>13</v>
      </c>
      <c r="F443">
        <v>23</v>
      </c>
      <c r="G443">
        <v>8</v>
      </c>
      <c r="H443">
        <v>0</v>
      </c>
      <c r="I443">
        <v>8</v>
      </c>
    </row>
    <row r="444" spans="1:9" x14ac:dyDescent="0.3">
      <c r="A444">
        <v>4</v>
      </c>
      <c r="B444">
        <v>11</v>
      </c>
      <c r="C444">
        <v>6</v>
      </c>
      <c r="D444">
        <v>0</v>
      </c>
      <c r="E444">
        <v>6</v>
      </c>
      <c r="F444">
        <v>5</v>
      </c>
      <c r="G444">
        <v>6</v>
      </c>
      <c r="H444">
        <v>0</v>
      </c>
      <c r="I444">
        <v>6</v>
      </c>
    </row>
    <row r="445" spans="1:9" x14ac:dyDescent="0.3">
      <c r="A445">
        <v>5</v>
      </c>
      <c r="B445">
        <v>13</v>
      </c>
      <c r="C445">
        <v>8</v>
      </c>
      <c r="D445">
        <v>0</v>
      </c>
      <c r="E445">
        <v>8</v>
      </c>
      <c r="F445">
        <v>5</v>
      </c>
      <c r="G445">
        <v>8</v>
      </c>
      <c r="H445">
        <v>0</v>
      </c>
      <c r="I445">
        <v>8</v>
      </c>
    </row>
    <row r="446" spans="1:9" x14ac:dyDescent="0.3">
      <c r="A446">
        <v>6</v>
      </c>
      <c r="B446">
        <v>3</v>
      </c>
      <c r="C446">
        <v>0</v>
      </c>
      <c r="D446">
        <v>0</v>
      </c>
      <c r="E446">
        <v>0</v>
      </c>
      <c r="F446">
        <v>3</v>
      </c>
      <c r="G446">
        <v>0</v>
      </c>
      <c r="H446">
        <v>0</v>
      </c>
      <c r="I446">
        <v>0</v>
      </c>
    </row>
    <row r="447" spans="1:9" x14ac:dyDescent="0.3">
      <c r="A447">
        <v>7</v>
      </c>
      <c r="B447">
        <v>3</v>
      </c>
      <c r="C447">
        <v>0</v>
      </c>
      <c r="D447">
        <v>0</v>
      </c>
      <c r="E447">
        <v>0</v>
      </c>
      <c r="F447">
        <v>3</v>
      </c>
      <c r="G447">
        <v>0</v>
      </c>
      <c r="H447">
        <v>0</v>
      </c>
      <c r="I447">
        <v>0</v>
      </c>
    </row>
    <row r="448" spans="1:9" x14ac:dyDescent="0.3">
      <c r="A448">
        <v>8</v>
      </c>
      <c r="B448">
        <v>1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</row>
    <row r="449" spans="1:9" x14ac:dyDescent="0.3">
      <c r="A449">
        <v>2</v>
      </c>
      <c r="B449">
        <v>5</v>
      </c>
      <c r="C449">
        <v>2</v>
      </c>
      <c r="D449">
        <v>0</v>
      </c>
      <c r="E449">
        <v>2</v>
      </c>
      <c r="F449">
        <v>3</v>
      </c>
      <c r="G449">
        <v>2</v>
      </c>
      <c r="H449">
        <v>0</v>
      </c>
      <c r="I449">
        <v>2</v>
      </c>
    </row>
    <row r="450" spans="1:9" x14ac:dyDescent="0.3">
      <c r="A450">
        <v>3</v>
      </c>
      <c r="B450">
        <v>29</v>
      </c>
      <c r="C450">
        <v>16</v>
      </c>
      <c r="D450">
        <v>0</v>
      </c>
      <c r="E450">
        <v>16</v>
      </c>
      <c r="F450">
        <v>13</v>
      </c>
      <c r="G450">
        <v>12</v>
      </c>
      <c r="H450">
        <v>0</v>
      </c>
      <c r="I450">
        <v>12</v>
      </c>
    </row>
    <row r="451" spans="1:9" x14ac:dyDescent="0.3">
      <c r="A451">
        <v>4</v>
      </c>
      <c r="B451">
        <v>13</v>
      </c>
      <c r="C451">
        <v>5</v>
      </c>
      <c r="D451">
        <v>0</v>
      </c>
      <c r="E451">
        <v>5</v>
      </c>
      <c r="F451">
        <v>8</v>
      </c>
      <c r="G451">
        <v>5</v>
      </c>
      <c r="H451">
        <v>0</v>
      </c>
      <c r="I451">
        <v>5</v>
      </c>
    </row>
    <row r="452" spans="1:9" x14ac:dyDescent="0.3">
      <c r="A452">
        <v>5</v>
      </c>
      <c r="B452">
        <v>11</v>
      </c>
      <c r="C452">
        <v>6</v>
      </c>
      <c r="D452">
        <v>0</v>
      </c>
      <c r="E452">
        <v>6</v>
      </c>
      <c r="F452">
        <v>5</v>
      </c>
      <c r="G452">
        <v>6</v>
      </c>
      <c r="H452">
        <v>0</v>
      </c>
      <c r="I452">
        <v>6</v>
      </c>
    </row>
    <row r="453" spans="1:9" x14ac:dyDescent="0.3">
      <c r="A453">
        <v>6</v>
      </c>
      <c r="B453">
        <v>4</v>
      </c>
      <c r="C453">
        <v>0</v>
      </c>
      <c r="D453">
        <v>0</v>
      </c>
      <c r="E453">
        <v>0</v>
      </c>
      <c r="F453">
        <v>4</v>
      </c>
      <c r="G453">
        <v>0</v>
      </c>
      <c r="H453">
        <v>0</v>
      </c>
      <c r="I453">
        <v>0</v>
      </c>
    </row>
    <row r="454" spans="1:9" x14ac:dyDescent="0.3">
      <c r="A454">
        <v>7</v>
      </c>
      <c r="B454">
        <v>7</v>
      </c>
      <c r="C454">
        <v>0</v>
      </c>
      <c r="D454">
        <v>0</v>
      </c>
      <c r="E454">
        <v>0</v>
      </c>
      <c r="F454">
        <v>7</v>
      </c>
      <c r="G454">
        <v>0</v>
      </c>
      <c r="H454">
        <v>0</v>
      </c>
      <c r="I454">
        <v>0</v>
      </c>
    </row>
    <row r="455" spans="1:9" x14ac:dyDescent="0.3">
      <c r="A455">
        <v>8</v>
      </c>
      <c r="B455">
        <v>1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</row>
    <row r="456" spans="1:9" x14ac:dyDescent="0.3">
      <c r="A456">
        <v>2</v>
      </c>
      <c r="B456">
        <v>3</v>
      </c>
      <c r="C456">
        <v>0</v>
      </c>
      <c r="D456">
        <v>0</v>
      </c>
      <c r="E456">
        <v>0</v>
      </c>
      <c r="F456">
        <v>3</v>
      </c>
      <c r="G456">
        <v>0</v>
      </c>
      <c r="H456">
        <v>0</v>
      </c>
      <c r="I456">
        <v>0</v>
      </c>
    </row>
    <row r="457" spans="1:9" x14ac:dyDescent="0.3">
      <c r="A457">
        <v>3</v>
      </c>
      <c r="B457">
        <v>35</v>
      </c>
      <c r="C457">
        <v>18</v>
      </c>
      <c r="D457">
        <v>0</v>
      </c>
      <c r="E457">
        <v>18</v>
      </c>
      <c r="F457">
        <v>17</v>
      </c>
      <c r="G457">
        <v>12</v>
      </c>
      <c r="H457">
        <v>0</v>
      </c>
      <c r="I457">
        <v>12</v>
      </c>
    </row>
    <row r="458" spans="1:9" x14ac:dyDescent="0.3">
      <c r="A458">
        <v>4</v>
      </c>
      <c r="B458">
        <v>19</v>
      </c>
      <c r="C458">
        <v>7</v>
      </c>
      <c r="D458">
        <v>0</v>
      </c>
      <c r="E458">
        <v>7</v>
      </c>
      <c r="F458">
        <v>12</v>
      </c>
      <c r="G458">
        <v>7</v>
      </c>
      <c r="H458">
        <v>0</v>
      </c>
      <c r="I458">
        <v>7</v>
      </c>
    </row>
    <row r="459" spans="1:9" x14ac:dyDescent="0.3">
      <c r="A459">
        <v>5</v>
      </c>
      <c r="B459">
        <v>5</v>
      </c>
      <c r="C459">
        <v>2</v>
      </c>
      <c r="D459">
        <v>0</v>
      </c>
      <c r="E459">
        <v>2</v>
      </c>
      <c r="F459">
        <v>3</v>
      </c>
      <c r="G459">
        <v>2</v>
      </c>
      <c r="H459">
        <v>0</v>
      </c>
      <c r="I459">
        <v>2</v>
      </c>
    </row>
    <row r="460" spans="1:9" x14ac:dyDescent="0.3">
      <c r="A460">
        <v>6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0</v>
      </c>
      <c r="I460">
        <v>0</v>
      </c>
    </row>
    <row r="461" spans="1:9" x14ac:dyDescent="0.3">
      <c r="A461">
        <v>7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0</v>
      </c>
      <c r="I461">
        <v>0</v>
      </c>
    </row>
    <row r="462" spans="1:9" x14ac:dyDescent="0.3">
      <c r="A462">
        <v>8</v>
      </c>
      <c r="B462">
        <v>4</v>
      </c>
      <c r="C462">
        <v>0</v>
      </c>
      <c r="D462">
        <v>0</v>
      </c>
      <c r="E462">
        <v>0</v>
      </c>
      <c r="F462">
        <v>4</v>
      </c>
      <c r="G462">
        <v>0</v>
      </c>
      <c r="H462">
        <v>0</v>
      </c>
      <c r="I462">
        <v>0</v>
      </c>
    </row>
    <row r="463" spans="1:9" x14ac:dyDescent="0.3">
      <c r="A463">
        <v>2</v>
      </c>
      <c r="B463">
        <v>6</v>
      </c>
      <c r="C463">
        <v>4</v>
      </c>
      <c r="D463">
        <v>0</v>
      </c>
      <c r="E463">
        <v>4</v>
      </c>
      <c r="F463">
        <v>2</v>
      </c>
      <c r="G463">
        <v>4</v>
      </c>
      <c r="H463">
        <v>0</v>
      </c>
      <c r="I463">
        <v>4</v>
      </c>
    </row>
    <row r="464" spans="1:9" x14ac:dyDescent="0.3">
      <c r="A464">
        <v>3</v>
      </c>
      <c r="B464">
        <v>38</v>
      </c>
      <c r="C464">
        <v>20</v>
      </c>
      <c r="D464">
        <v>0</v>
      </c>
      <c r="E464">
        <v>20</v>
      </c>
      <c r="F464">
        <v>18</v>
      </c>
      <c r="G464">
        <v>13</v>
      </c>
      <c r="H464">
        <v>0</v>
      </c>
      <c r="I464">
        <v>13</v>
      </c>
    </row>
    <row r="465" spans="1:9" x14ac:dyDescent="0.3">
      <c r="A465">
        <v>4</v>
      </c>
      <c r="B465">
        <v>9</v>
      </c>
      <c r="C465">
        <v>5</v>
      </c>
      <c r="D465">
        <v>0</v>
      </c>
      <c r="E465">
        <v>5</v>
      </c>
      <c r="F465">
        <v>4</v>
      </c>
      <c r="G465">
        <v>5</v>
      </c>
      <c r="H465">
        <v>0</v>
      </c>
      <c r="I465">
        <v>5</v>
      </c>
    </row>
    <row r="466" spans="1:9" x14ac:dyDescent="0.3">
      <c r="A466">
        <v>5</v>
      </c>
      <c r="B466">
        <v>4</v>
      </c>
      <c r="C466">
        <v>1</v>
      </c>
      <c r="D466">
        <v>0</v>
      </c>
      <c r="E466">
        <v>1</v>
      </c>
      <c r="F466">
        <v>3</v>
      </c>
      <c r="G466">
        <v>1</v>
      </c>
      <c r="H466">
        <v>0</v>
      </c>
      <c r="I466">
        <v>1</v>
      </c>
    </row>
    <row r="467" spans="1:9" x14ac:dyDescent="0.3">
      <c r="A467">
        <v>6</v>
      </c>
      <c r="B467">
        <v>6</v>
      </c>
      <c r="C467">
        <v>0</v>
      </c>
      <c r="D467">
        <v>0</v>
      </c>
      <c r="E467">
        <v>0</v>
      </c>
      <c r="F467">
        <v>6</v>
      </c>
      <c r="G467">
        <v>0</v>
      </c>
      <c r="H467">
        <v>0</v>
      </c>
      <c r="I467">
        <v>0</v>
      </c>
    </row>
    <row r="468" spans="1:9" x14ac:dyDescent="0.3">
      <c r="A468">
        <v>7</v>
      </c>
      <c r="B468">
        <v>6</v>
      </c>
      <c r="C468">
        <v>0</v>
      </c>
      <c r="D468">
        <v>0</v>
      </c>
      <c r="E468">
        <v>0</v>
      </c>
      <c r="F468">
        <v>6</v>
      </c>
      <c r="G468">
        <v>0</v>
      </c>
      <c r="H468">
        <v>0</v>
      </c>
      <c r="I468">
        <v>0</v>
      </c>
    </row>
    <row r="469" spans="1:9" x14ac:dyDescent="0.3">
      <c r="A469">
        <v>8</v>
      </c>
      <c r="B469">
        <v>1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</row>
    <row r="470" spans="1:9" x14ac:dyDescent="0.3">
      <c r="A470">
        <v>2</v>
      </c>
      <c r="B470">
        <v>5</v>
      </c>
      <c r="C470">
        <v>3</v>
      </c>
      <c r="D470">
        <v>0</v>
      </c>
      <c r="E470">
        <v>3</v>
      </c>
      <c r="F470">
        <v>2</v>
      </c>
      <c r="G470">
        <v>3</v>
      </c>
      <c r="H470">
        <v>0</v>
      </c>
      <c r="I470">
        <v>3</v>
      </c>
    </row>
    <row r="471" spans="1:9" x14ac:dyDescent="0.3">
      <c r="A471">
        <v>3</v>
      </c>
      <c r="B471">
        <v>43</v>
      </c>
      <c r="C471">
        <v>21</v>
      </c>
      <c r="D471">
        <v>0</v>
      </c>
      <c r="E471">
        <v>21</v>
      </c>
      <c r="F471">
        <v>22</v>
      </c>
      <c r="G471">
        <v>17</v>
      </c>
      <c r="H471">
        <v>0</v>
      </c>
      <c r="I471">
        <v>17</v>
      </c>
    </row>
    <row r="472" spans="1:9" x14ac:dyDescent="0.3">
      <c r="A472">
        <v>4</v>
      </c>
      <c r="B472">
        <v>10</v>
      </c>
      <c r="C472">
        <v>5</v>
      </c>
      <c r="D472">
        <v>0</v>
      </c>
      <c r="E472">
        <v>5</v>
      </c>
      <c r="F472">
        <v>5</v>
      </c>
      <c r="G472">
        <v>5</v>
      </c>
      <c r="H472">
        <v>0</v>
      </c>
      <c r="I472">
        <v>5</v>
      </c>
    </row>
    <row r="473" spans="1:9" x14ac:dyDescent="0.3">
      <c r="A473">
        <v>5</v>
      </c>
      <c r="B473">
        <v>3</v>
      </c>
      <c r="C473">
        <v>1</v>
      </c>
      <c r="D473">
        <v>0</v>
      </c>
      <c r="E473">
        <v>1</v>
      </c>
      <c r="F473">
        <v>2</v>
      </c>
      <c r="G473">
        <v>1</v>
      </c>
      <c r="H473">
        <v>0</v>
      </c>
      <c r="I473">
        <v>1</v>
      </c>
    </row>
    <row r="474" spans="1:9" x14ac:dyDescent="0.3">
      <c r="A474">
        <v>6</v>
      </c>
      <c r="B474">
        <v>4</v>
      </c>
      <c r="C474">
        <v>0</v>
      </c>
      <c r="D474">
        <v>0</v>
      </c>
      <c r="E474">
        <v>0</v>
      </c>
      <c r="F474">
        <v>4</v>
      </c>
      <c r="G474">
        <v>0</v>
      </c>
      <c r="H474">
        <v>0</v>
      </c>
      <c r="I474">
        <v>0</v>
      </c>
    </row>
    <row r="475" spans="1:9" x14ac:dyDescent="0.3">
      <c r="A475">
        <v>7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>
        <v>0</v>
      </c>
    </row>
    <row r="476" spans="1:9" x14ac:dyDescent="0.3">
      <c r="A476">
        <v>8</v>
      </c>
      <c r="B476">
        <v>3</v>
      </c>
      <c r="C476">
        <v>0</v>
      </c>
      <c r="D476">
        <v>0</v>
      </c>
      <c r="E476">
        <v>0</v>
      </c>
      <c r="F476">
        <v>3</v>
      </c>
      <c r="G476">
        <v>0</v>
      </c>
      <c r="H476">
        <v>0</v>
      </c>
      <c r="I476">
        <v>0</v>
      </c>
    </row>
    <row r="477" spans="1:9" x14ac:dyDescent="0.3">
      <c r="A477">
        <v>3</v>
      </c>
      <c r="B477">
        <v>47</v>
      </c>
      <c r="C477">
        <v>23</v>
      </c>
      <c r="D477">
        <v>0</v>
      </c>
      <c r="E477">
        <v>23</v>
      </c>
      <c r="F477">
        <v>24</v>
      </c>
      <c r="G477">
        <v>14</v>
      </c>
      <c r="H477">
        <v>0</v>
      </c>
      <c r="I477">
        <v>14</v>
      </c>
    </row>
    <row r="478" spans="1:9" x14ac:dyDescent="0.3">
      <c r="A478">
        <v>4</v>
      </c>
      <c r="B478">
        <v>11</v>
      </c>
      <c r="C478">
        <v>5</v>
      </c>
      <c r="D478">
        <v>0</v>
      </c>
      <c r="E478">
        <v>5</v>
      </c>
      <c r="F478">
        <v>6</v>
      </c>
      <c r="G478">
        <v>5</v>
      </c>
      <c r="H478">
        <v>0</v>
      </c>
      <c r="I478">
        <v>5</v>
      </c>
    </row>
    <row r="479" spans="1:9" x14ac:dyDescent="0.3">
      <c r="A479">
        <v>5</v>
      </c>
      <c r="B479">
        <v>5</v>
      </c>
      <c r="C479">
        <v>1</v>
      </c>
      <c r="D479">
        <v>0</v>
      </c>
      <c r="E479">
        <v>1</v>
      </c>
      <c r="F479">
        <v>4</v>
      </c>
      <c r="G479">
        <v>1</v>
      </c>
      <c r="H479">
        <v>0</v>
      </c>
      <c r="I479">
        <v>1</v>
      </c>
    </row>
    <row r="480" spans="1:9" x14ac:dyDescent="0.3">
      <c r="A480">
        <v>6</v>
      </c>
      <c r="B480">
        <v>5</v>
      </c>
      <c r="C480">
        <v>0</v>
      </c>
      <c r="D480">
        <v>0</v>
      </c>
      <c r="E480">
        <v>0</v>
      </c>
      <c r="F480">
        <v>5</v>
      </c>
      <c r="G480">
        <v>0</v>
      </c>
      <c r="H480">
        <v>0</v>
      </c>
      <c r="I480">
        <v>0</v>
      </c>
    </row>
    <row r="481" spans="1:9" x14ac:dyDescent="0.3">
      <c r="A481">
        <v>7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</row>
    <row r="482" spans="1:9" x14ac:dyDescent="0.3">
      <c r="A482">
        <v>8</v>
      </c>
      <c r="B482">
        <v>1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</row>
    <row r="483" spans="1:9" x14ac:dyDescent="0.3">
      <c r="A483">
        <v>2</v>
      </c>
      <c r="B483">
        <v>5</v>
      </c>
      <c r="C483">
        <v>1</v>
      </c>
      <c r="D483">
        <v>0</v>
      </c>
      <c r="E483">
        <v>1</v>
      </c>
      <c r="F483">
        <v>4</v>
      </c>
      <c r="G483">
        <v>1</v>
      </c>
      <c r="H483">
        <v>0</v>
      </c>
      <c r="I483">
        <v>1</v>
      </c>
    </row>
    <row r="484" spans="1:9" x14ac:dyDescent="0.3">
      <c r="A484">
        <v>3</v>
      </c>
      <c r="B484">
        <v>39</v>
      </c>
      <c r="C484">
        <v>15</v>
      </c>
      <c r="D484">
        <v>0</v>
      </c>
      <c r="E484">
        <v>15</v>
      </c>
      <c r="F484">
        <v>24</v>
      </c>
      <c r="G484">
        <v>11</v>
      </c>
      <c r="H484">
        <v>0</v>
      </c>
      <c r="I484">
        <v>11</v>
      </c>
    </row>
    <row r="485" spans="1:9" x14ac:dyDescent="0.3">
      <c r="A485">
        <v>4</v>
      </c>
      <c r="B485">
        <v>14</v>
      </c>
      <c r="C485">
        <v>3</v>
      </c>
      <c r="D485">
        <v>0</v>
      </c>
      <c r="E485">
        <v>3</v>
      </c>
      <c r="F485">
        <v>11</v>
      </c>
      <c r="G485">
        <v>3</v>
      </c>
      <c r="H485">
        <v>0</v>
      </c>
      <c r="I485">
        <v>3</v>
      </c>
    </row>
    <row r="486" spans="1:9" x14ac:dyDescent="0.3">
      <c r="A486">
        <v>5</v>
      </c>
      <c r="B486">
        <v>3</v>
      </c>
      <c r="C486">
        <v>2</v>
      </c>
      <c r="D486">
        <v>0</v>
      </c>
      <c r="E486">
        <v>2</v>
      </c>
      <c r="F486">
        <v>1</v>
      </c>
      <c r="G486">
        <v>2</v>
      </c>
      <c r="H486">
        <v>0</v>
      </c>
      <c r="I486">
        <v>2</v>
      </c>
    </row>
    <row r="487" spans="1:9" x14ac:dyDescent="0.3">
      <c r="A487">
        <v>6</v>
      </c>
      <c r="B487">
        <v>3</v>
      </c>
      <c r="C487">
        <v>0</v>
      </c>
      <c r="D487">
        <v>0</v>
      </c>
      <c r="E487">
        <v>0</v>
      </c>
      <c r="F487">
        <v>3</v>
      </c>
      <c r="G487">
        <v>0</v>
      </c>
      <c r="H487">
        <v>0</v>
      </c>
      <c r="I487">
        <v>0</v>
      </c>
    </row>
    <row r="488" spans="1:9" x14ac:dyDescent="0.3">
      <c r="A488">
        <v>7</v>
      </c>
      <c r="B488">
        <v>5</v>
      </c>
      <c r="C488">
        <v>0</v>
      </c>
      <c r="D488">
        <v>0</v>
      </c>
      <c r="E488">
        <v>0</v>
      </c>
      <c r="F488">
        <v>5</v>
      </c>
      <c r="G488">
        <v>0</v>
      </c>
      <c r="H488">
        <v>0</v>
      </c>
      <c r="I488">
        <v>0</v>
      </c>
    </row>
    <row r="489" spans="1:9" x14ac:dyDescent="0.3">
      <c r="A489">
        <v>8</v>
      </c>
      <c r="B489">
        <v>1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305"/>
  <sheetViews>
    <sheetView topLeftCell="A73" zoomScale="70" zoomScaleNormal="70" workbookViewId="0">
      <selection activeCell="AL26" sqref="AL26"/>
    </sheetView>
  </sheetViews>
  <sheetFormatPr defaultRowHeight="14.4" x14ac:dyDescent="0.3"/>
  <cols>
    <col min="1" max="2" width="5.6640625" style="21" customWidth="1"/>
    <col min="3" max="4" width="5.6640625" style="56" customWidth="1"/>
    <col min="5" max="5" width="5.6640625" style="57" customWidth="1"/>
    <col min="6" max="7" width="5.6640625" style="56" customWidth="1"/>
    <col min="8" max="8" width="5.6640625" style="57" customWidth="1"/>
    <col min="9" max="10" width="5.6640625" style="56" customWidth="1"/>
    <col min="11" max="11" width="5.6640625" style="57" customWidth="1"/>
    <col min="12" max="13" width="5.6640625" style="56" customWidth="1"/>
    <col min="14" max="14" width="5.6640625" style="57" customWidth="1"/>
    <col min="15" max="15" width="5.6640625" style="56" customWidth="1"/>
    <col min="16" max="16" width="5.6640625" style="57" customWidth="1"/>
    <col min="17" max="19" width="5.6640625" style="56" customWidth="1"/>
    <col min="20" max="20" width="5.6640625" style="57" customWidth="1"/>
    <col min="21" max="23" width="5.6640625" style="56" customWidth="1"/>
    <col min="24" max="24" width="5.6640625" style="57" customWidth="1"/>
    <col min="25" max="27" width="5.6640625" style="56" customWidth="1"/>
    <col min="28" max="28" width="6.88671875" style="57" customWidth="1"/>
    <col min="29" max="35" width="5.6640625" style="56" customWidth="1"/>
    <col min="36" max="36" width="5.6640625" style="57" customWidth="1"/>
    <col min="37" max="38" width="5.6640625" style="56" customWidth="1"/>
    <col min="39" max="39" width="5.6640625" style="57" customWidth="1"/>
    <col min="40" max="41" width="5.6640625" style="56" customWidth="1"/>
    <col min="42" max="42" width="5.6640625" style="57" customWidth="1"/>
    <col min="43" max="44" width="5.6640625" style="56" customWidth="1"/>
    <col min="45" max="45" width="5.6640625" style="57" customWidth="1"/>
    <col min="46" max="49" width="5.6640625" style="56" customWidth="1"/>
    <col min="50" max="50" width="8.88671875" style="56" customWidth="1"/>
    <col min="51" max="52" width="6.6640625" style="56" customWidth="1"/>
  </cols>
  <sheetData>
    <row r="1" spans="1:52" x14ac:dyDescent="0.3">
      <c r="C1" s="67" t="s">
        <v>30</v>
      </c>
      <c r="D1" s="65"/>
      <c r="E1" s="66"/>
      <c r="F1" s="67" t="s">
        <v>31</v>
      </c>
      <c r="G1" s="65"/>
      <c r="H1" s="66"/>
      <c r="I1" s="67" t="s">
        <v>32</v>
      </c>
      <c r="J1" s="65"/>
      <c r="K1" s="66"/>
      <c r="L1" s="67" t="s">
        <v>33</v>
      </c>
      <c r="M1" s="65"/>
      <c r="N1" s="66"/>
      <c r="Q1" s="67" t="s">
        <v>34</v>
      </c>
      <c r="R1" s="65"/>
      <c r="S1" s="65"/>
      <c r="T1" s="66"/>
      <c r="U1" s="67" t="s">
        <v>35</v>
      </c>
      <c r="V1" s="65"/>
      <c r="W1" s="65"/>
      <c r="X1" s="66"/>
      <c r="Y1" s="67" t="s">
        <v>36</v>
      </c>
      <c r="Z1" s="65"/>
      <c r="AA1" s="65"/>
      <c r="AB1" s="66"/>
      <c r="AC1" s="67" t="s">
        <v>37</v>
      </c>
      <c r="AD1" s="65"/>
      <c r="AE1" s="65"/>
      <c r="AF1" s="65"/>
      <c r="AK1" s="67" t="s">
        <v>38</v>
      </c>
      <c r="AL1" s="65"/>
      <c r="AM1" s="66"/>
      <c r="AN1" s="67" t="s">
        <v>39</v>
      </c>
      <c r="AO1" s="65"/>
      <c r="AP1" s="66"/>
      <c r="AQ1" s="67" t="s">
        <v>40</v>
      </c>
      <c r="AR1" s="65"/>
      <c r="AS1" s="66"/>
      <c r="AT1" s="67" t="s">
        <v>37</v>
      </c>
      <c r="AU1" s="65"/>
      <c r="AV1" s="65"/>
      <c r="AX1" t="s">
        <v>41</v>
      </c>
    </row>
    <row r="2" spans="1:52" x14ac:dyDescent="0.3">
      <c r="B2" s="21" t="s">
        <v>42</v>
      </c>
      <c r="C2" s="33">
        <v>1</v>
      </c>
      <c r="D2">
        <v>2</v>
      </c>
      <c r="E2" s="57">
        <v>3</v>
      </c>
      <c r="F2">
        <v>1</v>
      </c>
      <c r="G2">
        <v>2</v>
      </c>
      <c r="H2" s="57">
        <v>3</v>
      </c>
      <c r="I2">
        <v>1</v>
      </c>
      <c r="J2">
        <v>2</v>
      </c>
      <c r="K2" s="57">
        <v>3</v>
      </c>
      <c r="L2">
        <v>1</v>
      </c>
      <c r="M2">
        <v>2</v>
      </c>
      <c r="N2" s="57">
        <v>3</v>
      </c>
      <c r="Q2" s="61">
        <v>1</v>
      </c>
      <c r="R2" s="61">
        <v>2</v>
      </c>
      <c r="S2" s="61">
        <v>3</v>
      </c>
      <c r="T2" s="62" t="s">
        <v>43</v>
      </c>
      <c r="U2" s="61">
        <v>1</v>
      </c>
      <c r="V2" s="61">
        <v>2</v>
      </c>
      <c r="W2" s="26">
        <v>3</v>
      </c>
      <c r="X2" s="62" t="s">
        <v>43</v>
      </c>
      <c r="Y2" s="61">
        <v>1</v>
      </c>
      <c r="Z2" s="61">
        <v>2</v>
      </c>
      <c r="AA2" s="61">
        <v>3</v>
      </c>
      <c r="AB2" s="62" t="s">
        <v>43</v>
      </c>
      <c r="AC2" s="61">
        <v>1</v>
      </c>
      <c r="AD2" s="61">
        <v>2</v>
      </c>
      <c r="AE2" s="61">
        <v>3</v>
      </c>
      <c r="AF2" s="61" t="s">
        <v>43</v>
      </c>
      <c r="AG2" s="61"/>
      <c r="AH2" s="61"/>
      <c r="AK2">
        <v>1</v>
      </c>
      <c r="AL2">
        <v>2</v>
      </c>
      <c r="AM2" s="57">
        <v>3</v>
      </c>
      <c r="AN2">
        <v>1</v>
      </c>
      <c r="AO2">
        <v>2</v>
      </c>
      <c r="AP2" s="57">
        <v>3</v>
      </c>
      <c r="AQ2">
        <v>1</v>
      </c>
      <c r="AR2">
        <v>2</v>
      </c>
      <c r="AS2" s="57">
        <v>3</v>
      </c>
      <c r="AT2">
        <v>1</v>
      </c>
      <c r="AU2">
        <v>2</v>
      </c>
      <c r="AV2">
        <v>3</v>
      </c>
    </row>
    <row r="3" spans="1:52" s="4" customFormat="1" x14ac:dyDescent="0.3">
      <c r="A3" s="4">
        <f>COUNTIF(A12:A333,2)</f>
        <v>41</v>
      </c>
      <c r="B3" s="22">
        <f>A3*70</f>
        <v>2870</v>
      </c>
      <c r="C3" s="4">
        <f t="shared" ref="C3:P3" si="0">SUM(C4:C10)</f>
        <v>2619</v>
      </c>
      <c r="D3" s="4">
        <f t="shared" si="0"/>
        <v>2643</v>
      </c>
      <c r="E3" s="7">
        <f t="shared" si="0"/>
        <v>2632</v>
      </c>
      <c r="F3" s="4">
        <f t="shared" si="0"/>
        <v>2312</v>
      </c>
      <c r="G3" s="4">
        <f t="shared" si="0"/>
        <v>2344</v>
      </c>
      <c r="H3" s="7">
        <f t="shared" si="0"/>
        <v>2323</v>
      </c>
      <c r="I3" s="4">
        <f t="shared" si="0"/>
        <v>3542</v>
      </c>
      <c r="J3" s="4">
        <f t="shared" si="0"/>
        <v>3587</v>
      </c>
      <c r="K3" s="7">
        <f t="shared" si="0"/>
        <v>3598</v>
      </c>
      <c r="L3" s="4">
        <f t="shared" si="0"/>
        <v>3559</v>
      </c>
      <c r="M3" s="4">
        <f t="shared" si="0"/>
        <v>3587</v>
      </c>
      <c r="N3" s="7">
        <f t="shared" si="0"/>
        <v>3581</v>
      </c>
      <c r="O3" s="31">
        <f t="shared" si="0"/>
        <v>3.7376306620209059</v>
      </c>
      <c r="P3" s="22">
        <f t="shared" si="0"/>
        <v>0.99999999999999978</v>
      </c>
      <c r="Q3" s="23">
        <f t="shared" ref="Q3:Q10" si="1">C3/B3</f>
        <v>0.91254355400696863</v>
      </c>
      <c r="R3" s="23">
        <f t="shared" ref="R3:R10" si="2">D3/B3</f>
        <v>0.9209059233449477</v>
      </c>
      <c r="S3" s="23">
        <f t="shared" ref="S3:S10" si="3">E3/B3</f>
        <v>0.91707317073170735</v>
      </c>
      <c r="T3" s="48">
        <f t="shared" ref="T3:T10" si="4">SUM(C3:E3)/(B3)</f>
        <v>2.7505226480836238</v>
      </c>
      <c r="U3" s="23">
        <f t="shared" ref="U3:W10" si="5">F3/$B3</f>
        <v>0.80557491289198602</v>
      </c>
      <c r="V3" s="23">
        <f t="shared" si="5"/>
        <v>0.81672473867595818</v>
      </c>
      <c r="W3" s="23">
        <f t="shared" si="5"/>
        <v>0.80940766550522647</v>
      </c>
      <c r="X3" s="48">
        <f t="shared" ref="X3:X10" si="6">SUM(F3:H3)/(B3)</f>
        <v>2.4317073170731707</v>
      </c>
      <c r="Y3" s="11">
        <f t="shared" ref="Y3:AB10" si="7">(U3-Q3)/Q3*100</f>
        <v>-11.72203130966018</v>
      </c>
      <c r="Z3" s="11">
        <f t="shared" si="7"/>
        <v>-11.312902005297008</v>
      </c>
      <c r="AA3" s="11">
        <f t="shared" si="7"/>
        <v>-11.740121580547118</v>
      </c>
      <c r="AB3" s="12">
        <f t="shared" si="7"/>
        <v>-11.591081834304541</v>
      </c>
      <c r="AC3" s="29">
        <f t="shared" ref="AC3:AF10" si="8">U3-Q3</f>
        <v>-0.10696864111498261</v>
      </c>
      <c r="AD3" s="11">
        <f t="shared" si="8"/>
        <v>-0.10418118466898951</v>
      </c>
      <c r="AE3" s="11">
        <f t="shared" si="8"/>
        <v>-0.10766550522648088</v>
      </c>
      <c r="AF3" s="23">
        <f t="shared" si="8"/>
        <v>-0.31881533101045312</v>
      </c>
      <c r="AG3" s="55"/>
      <c r="AH3" s="63"/>
      <c r="AI3" s="28">
        <f t="shared" ref="AI3:AI10" si="9">SUM(C3:E3)</f>
        <v>7894</v>
      </c>
      <c r="AJ3" s="7">
        <f t="shared" ref="AJ3:AJ10" si="10">SUM(F3:H3)</f>
        <v>6979</v>
      </c>
      <c r="AK3" s="11">
        <f t="shared" ref="AK3:AM10" si="11">(C3/$AI3)*100</f>
        <v>33.177096529009376</v>
      </c>
      <c r="AL3" s="11">
        <f t="shared" si="11"/>
        <v>33.481124904991134</v>
      </c>
      <c r="AM3" s="12">
        <f t="shared" si="11"/>
        <v>33.341778565999491</v>
      </c>
      <c r="AN3" s="11">
        <f t="shared" ref="AN3:AP10" si="12">(F3/$AJ3)*100</f>
        <v>33.127955294454793</v>
      </c>
      <c r="AO3" s="11">
        <f t="shared" si="12"/>
        <v>33.586473706834788</v>
      </c>
      <c r="AP3" s="12">
        <f t="shared" si="12"/>
        <v>33.285570998710419</v>
      </c>
      <c r="AQ3" s="29">
        <f t="shared" ref="AQ3:AS10" si="13">(AN3-AK3)/AK3*100</f>
        <v>-0.14811794790907767</v>
      </c>
      <c r="AR3" s="11">
        <f t="shared" si="13"/>
        <v>0.31465132113272948</v>
      </c>
      <c r="AS3" s="12">
        <f t="shared" si="13"/>
        <v>-0.16857999094982129</v>
      </c>
      <c r="AT3" s="29">
        <f t="shared" ref="AT3:AV10" si="14">AN3-AK3</f>
        <v>-4.9141234554582525E-2</v>
      </c>
      <c r="AU3" s="11">
        <f t="shared" si="14"/>
        <v>0.10534880184365392</v>
      </c>
      <c r="AV3" s="11">
        <f t="shared" si="14"/>
        <v>-5.6207567289071392E-2</v>
      </c>
      <c r="AW3" s="55"/>
      <c r="AX3" s="63"/>
    </row>
    <row r="4" spans="1:52" x14ac:dyDescent="0.3">
      <c r="A4" s="21">
        <v>2</v>
      </c>
      <c r="B4" s="21">
        <f t="shared" ref="B4:B10" si="15">SUMIF($A$12:$A$333,"="&amp;A4,$B$12:$B$333)</f>
        <v>212</v>
      </c>
      <c r="C4">
        <f t="shared" ref="C4:E10" si="16">SUMIF($A$12:$A$333,"="&amp;$A4,C$12:C$333)</f>
        <v>147</v>
      </c>
      <c r="D4">
        <f t="shared" si="16"/>
        <v>140</v>
      </c>
      <c r="E4">
        <f t="shared" si="16"/>
        <v>137</v>
      </c>
      <c r="F4">
        <f>SUMIF($A$12:$A$333,"="&amp;$A4,F$12:F333)</f>
        <v>99</v>
      </c>
      <c r="G4">
        <f>SUMIF($A$12:$A$333,"="&amp;$A4,G$12:G333)</f>
        <v>95</v>
      </c>
      <c r="H4">
        <f>SUMIF($A$12:$A$333,"="&amp;$A4,H$12:H333)</f>
        <v>113</v>
      </c>
      <c r="I4">
        <f t="shared" ref="I4:N10" si="17">SUMIF($A$12:$A$333,"="&amp;$A4,I$12:I$333)</f>
        <v>147</v>
      </c>
      <c r="J4">
        <f t="shared" si="17"/>
        <v>140</v>
      </c>
      <c r="K4">
        <f t="shared" si="17"/>
        <v>137</v>
      </c>
      <c r="L4">
        <f t="shared" si="17"/>
        <v>134</v>
      </c>
      <c r="M4">
        <f t="shared" si="17"/>
        <v>127</v>
      </c>
      <c r="N4">
        <f t="shared" si="17"/>
        <v>163</v>
      </c>
      <c r="O4" s="55">
        <f t="shared" ref="O4:O10" si="18">P4*A4</f>
        <v>0.14773519163763066</v>
      </c>
      <c r="P4" s="10">
        <f t="shared" ref="P4:P10" si="19">B4/$B$3</f>
        <v>7.3867595818815329E-2</v>
      </c>
      <c r="Q4" s="55">
        <f t="shared" si="1"/>
        <v>0.69339622641509435</v>
      </c>
      <c r="R4" s="55">
        <f t="shared" si="2"/>
        <v>0.660377358490566</v>
      </c>
      <c r="S4" s="55">
        <f t="shared" si="3"/>
        <v>0.64622641509433965</v>
      </c>
      <c r="T4" s="47">
        <f t="shared" si="4"/>
        <v>2</v>
      </c>
      <c r="U4" s="55">
        <f t="shared" si="5"/>
        <v>0.46698113207547171</v>
      </c>
      <c r="V4" s="55">
        <f t="shared" si="5"/>
        <v>0.44811320754716982</v>
      </c>
      <c r="W4" s="55">
        <f t="shared" si="5"/>
        <v>0.53301886792452835</v>
      </c>
      <c r="X4" s="10">
        <f t="shared" si="6"/>
        <v>1.4481132075471699</v>
      </c>
      <c r="Y4" s="63">
        <f t="shared" si="7"/>
        <v>-32.653061224489797</v>
      </c>
      <c r="Z4" s="27">
        <f t="shared" si="7"/>
        <v>-32.142857142857139</v>
      </c>
      <c r="AA4" s="63">
        <f t="shared" si="7"/>
        <v>-17.518248175182478</v>
      </c>
      <c r="AB4" s="25">
        <f t="shared" si="7"/>
        <v>-27.594339622641506</v>
      </c>
      <c r="AC4" s="63">
        <f t="shared" si="8"/>
        <v>-0.22641509433962265</v>
      </c>
      <c r="AD4" s="63">
        <f t="shared" si="8"/>
        <v>-0.21226415094339618</v>
      </c>
      <c r="AE4" s="63">
        <f t="shared" si="8"/>
        <v>-0.1132075471698113</v>
      </c>
      <c r="AF4" s="55">
        <f t="shared" si="8"/>
        <v>-0.55188679245283012</v>
      </c>
      <c r="AG4" s="55"/>
      <c r="AH4" s="63"/>
      <c r="AI4" s="27">
        <f t="shared" si="9"/>
        <v>424</v>
      </c>
      <c r="AJ4" s="57">
        <f t="shared" si="10"/>
        <v>307</v>
      </c>
      <c r="AK4" s="63">
        <f t="shared" si="11"/>
        <v>34.669811320754718</v>
      </c>
      <c r="AL4" s="63">
        <f t="shared" si="11"/>
        <v>33.018867924528301</v>
      </c>
      <c r="AM4" s="25">
        <f t="shared" si="11"/>
        <v>32.311320754716981</v>
      </c>
      <c r="AN4" s="63">
        <f t="shared" si="12"/>
        <v>32.247557003257327</v>
      </c>
      <c r="AO4" s="63">
        <f t="shared" si="12"/>
        <v>30.944625407166125</v>
      </c>
      <c r="AP4" s="25">
        <f t="shared" si="12"/>
        <v>36.807817589576544</v>
      </c>
      <c r="AQ4" s="63">
        <f t="shared" si="13"/>
        <v>-6.9866383035298893</v>
      </c>
      <c r="AR4" s="27">
        <f t="shared" si="13"/>
        <v>-6.2819916240111615</v>
      </c>
      <c r="AS4" s="25">
        <f t="shared" si="13"/>
        <v>13.916165386718649</v>
      </c>
      <c r="AT4" s="63">
        <f t="shared" si="14"/>
        <v>-2.4222543174973907</v>
      </c>
      <c r="AU4" s="63">
        <f t="shared" si="14"/>
        <v>-2.0742425173621761</v>
      </c>
      <c r="AV4" s="63">
        <f t="shared" si="14"/>
        <v>4.4964968348595633</v>
      </c>
      <c r="AW4" s="63"/>
      <c r="AX4" s="63"/>
      <c r="AZ4" t="s">
        <v>44</v>
      </c>
    </row>
    <row r="5" spans="1:52" x14ac:dyDescent="0.3">
      <c r="A5" s="21">
        <v>3</v>
      </c>
      <c r="B5" s="21">
        <f t="shared" si="15"/>
        <v>1640</v>
      </c>
      <c r="C5">
        <f t="shared" si="16"/>
        <v>1454</v>
      </c>
      <c r="D5">
        <f t="shared" si="16"/>
        <v>1485</v>
      </c>
      <c r="E5">
        <f t="shared" si="16"/>
        <v>1477</v>
      </c>
      <c r="F5">
        <f>SUMIF($A$12:$A$333,"="&amp;$A5,F$12:F334)</f>
        <v>1281</v>
      </c>
      <c r="G5">
        <f>SUMIF($A$12:$A$333,"="&amp;$A5,G$12:G334)</f>
        <v>1318</v>
      </c>
      <c r="H5">
        <f>SUMIF($A$12:$A$333,"="&amp;$A5,H$12:H334)</f>
        <v>1277</v>
      </c>
      <c r="I5">
        <f t="shared" si="17"/>
        <v>1617</v>
      </c>
      <c r="J5">
        <f t="shared" si="17"/>
        <v>1671</v>
      </c>
      <c r="K5">
        <f t="shared" si="17"/>
        <v>1632</v>
      </c>
      <c r="L5">
        <f t="shared" si="17"/>
        <v>1644</v>
      </c>
      <c r="M5">
        <f t="shared" si="17"/>
        <v>1677</v>
      </c>
      <c r="N5">
        <f t="shared" si="17"/>
        <v>1599</v>
      </c>
      <c r="O5" s="55">
        <f t="shared" si="18"/>
        <v>1.7142857142857142</v>
      </c>
      <c r="P5" s="10">
        <f t="shared" si="19"/>
        <v>0.5714285714285714</v>
      </c>
      <c r="Q5" s="55">
        <f t="shared" si="1"/>
        <v>0.88658536585365855</v>
      </c>
      <c r="R5" s="55">
        <f t="shared" si="2"/>
        <v>0.90548780487804881</v>
      </c>
      <c r="S5" s="55">
        <f t="shared" si="3"/>
        <v>0.900609756097561</v>
      </c>
      <c r="T5" s="10">
        <f t="shared" si="4"/>
        <v>2.6926829268292685</v>
      </c>
      <c r="U5" s="55">
        <f t="shared" si="5"/>
        <v>0.78109756097560978</v>
      </c>
      <c r="V5" s="55">
        <f t="shared" si="5"/>
        <v>0.8036585365853659</v>
      </c>
      <c r="W5" s="55">
        <f t="shared" si="5"/>
        <v>0.77865853658536588</v>
      </c>
      <c r="X5" s="10">
        <f t="shared" si="6"/>
        <v>2.3634146341463413</v>
      </c>
      <c r="Y5" s="63">
        <f t="shared" si="7"/>
        <v>-11.898211829436036</v>
      </c>
      <c r="Z5" s="63">
        <f t="shared" si="7"/>
        <v>-11.245791245791244</v>
      </c>
      <c r="AA5" s="63">
        <f t="shared" si="7"/>
        <v>-13.540961408259985</v>
      </c>
      <c r="AB5" s="25">
        <f t="shared" si="7"/>
        <v>-12.228260869565228</v>
      </c>
      <c r="AC5" s="63">
        <f t="shared" si="8"/>
        <v>-0.10548780487804876</v>
      </c>
      <c r="AD5" s="63">
        <f t="shared" si="8"/>
        <v>-0.10182926829268291</v>
      </c>
      <c r="AE5" s="63">
        <f t="shared" si="8"/>
        <v>-0.12195121951219512</v>
      </c>
      <c r="AF5" s="55">
        <f t="shared" si="8"/>
        <v>-0.32926829268292712</v>
      </c>
      <c r="AG5" s="55"/>
      <c r="AH5" s="63"/>
      <c r="AI5" s="27">
        <f t="shared" si="9"/>
        <v>4416</v>
      </c>
      <c r="AJ5" s="57">
        <f t="shared" si="10"/>
        <v>3876</v>
      </c>
      <c r="AK5" s="63">
        <f t="shared" si="11"/>
        <v>32.925724637681157</v>
      </c>
      <c r="AL5" s="63">
        <f t="shared" si="11"/>
        <v>33.627717391304344</v>
      </c>
      <c r="AM5" s="25">
        <f t="shared" si="11"/>
        <v>33.446557971014492</v>
      </c>
      <c r="AN5" s="63">
        <f t="shared" si="12"/>
        <v>33.049535603715171</v>
      </c>
      <c r="AO5" s="63">
        <f t="shared" si="12"/>
        <v>34.004127966976263</v>
      </c>
      <c r="AP5" s="25">
        <f t="shared" si="12"/>
        <v>32.946336429308566</v>
      </c>
      <c r="AQ5" s="63">
        <f t="shared" si="13"/>
        <v>0.37603110454347127</v>
      </c>
      <c r="AR5" s="63">
        <f t="shared" si="13"/>
        <v>1.1193461967455853</v>
      </c>
      <c r="AS5" s="25">
        <f t="shared" si="13"/>
        <v>-1.4955845146739133</v>
      </c>
      <c r="AT5" s="63">
        <f t="shared" si="14"/>
        <v>0.12381096603401431</v>
      </c>
      <c r="AU5" s="63">
        <f t="shared" si="14"/>
        <v>0.37641057567191893</v>
      </c>
      <c r="AV5" s="63">
        <f t="shared" si="14"/>
        <v>-0.50022154170592614</v>
      </c>
      <c r="AW5" s="63"/>
      <c r="AX5" s="63"/>
      <c r="AZ5" t="s">
        <v>45</v>
      </c>
    </row>
    <row r="6" spans="1:52" x14ac:dyDescent="0.3">
      <c r="A6" s="21">
        <v>4</v>
      </c>
      <c r="B6" s="21">
        <f t="shared" si="15"/>
        <v>396</v>
      </c>
      <c r="C6">
        <f t="shared" si="16"/>
        <v>396</v>
      </c>
      <c r="D6">
        <f t="shared" si="16"/>
        <v>396</v>
      </c>
      <c r="E6">
        <f t="shared" si="16"/>
        <v>396</v>
      </c>
      <c r="F6">
        <f>SUMIF($A$12:$A$333,"="&amp;$A6,F$12:F335)</f>
        <v>336</v>
      </c>
      <c r="G6">
        <f>SUMIF($A$12:$A$333,"="&amp;$A6,G$12:G335)</f>
        <v>347</v>
      </c>
      <c r="H6">
        <f>SUMIF($A$12:$A$333,"="&amp;$A6,H$12:H335)</f>
        <v>347</v>
      </c>
      <c r="I6">
        <f t="shared" si="17"/>
        <v>539</v>
      </c>
      <c r="J6">
        <f t="shared" si="17"/>
        <v>511</v>
      </c>
      <c r="K6">
        <f t="shared" si="17"/>
        <v>534</v>
      </c>
      <c r="L6">
        <f t="shared" si="17"/>
        <v>515</v>
      </c>
      <c r="M6">
        <f t="shared" si="17"/>
        <v>531</v>
      </c>
      <c r="N6">
        <f t="shared" si="17"/>
        <v>538</v>
      </c>
      <c r="O6" s="55">
        <f t="shared" si="18"/>
        <v>0.55191637630662016</v>
      </c>
      <c r="P6" s="10">
        <f t="shared" si="19"/>
        <v>0.13797909407665504</v>
      </c>
      <c r="Q6" s="55">
        <f t="shared" si="1"/>
        <v>1</v>
      </c>
      <c r="R6" s="55">
        <f t="shared" si="2"/>
        <v>1</v>
      </c>
      <c r="S6" s="55">
        <f t="shared" si="3"/>
        <v>1</v>
      </c>
      <c r="T6" s="10">
        <f t="shared" si="4"/>
        <v>3</v>
      </c>
      <c r="U6" s="55">
        <f t="shared" si="5"/>
        <v>0.84848484848484851</v>
      </c>
      <c r="V6" s="55">
        <f t="shared" si="5"/>
        <v>0.8762626262626263</v>
      </c>
      <c r="W6" s="55">
        <f t="shared" si="5"/>
        <v>0.8762626262626263</v>
      </c>
      <c r="X6" s="10">
        <f t="shared" si="6"/>
        <v>2.6010101010101012</v>
      </c>
      <c r="Y6" s="63">
        <f t="shared" si="7"/>
        <v>-15.151515151515149</v>
      </c>
      <c r="Z6" s="63">
        <f t="shared" si="7"/>
        <v>-12.37373737373737</v>
      </c>
      <c r="AA6" s="63">
        <f t="shared" si="7"/>
        <v>-12.37373737373737</v>
      </c>
      <c r="AB6" s="25">
        <f t="shared" si="7"/>
        <v>-13.299663299663292</v>
      </c>
      <c r="AC6" s="63">
        <f t="shared" si="8"/>
        <v>-0.15151515151515149</v>
      </c>
      <c r="AD6" s="63">
        <f t="shared" si="8"/>
        <v>-0.1237373737373737</v>
      </c>
      <c r="AE6" s="63">
        <f t="shared" si="8"/>
        <v>-0.1237373737373737</v>
      </c>
      <c r="AF6" s="55">
        <f t="shared" si="8"/>
        <v>-0.39898989898989878</v>
      </c>
      <c r="AG6" s="55"/>
      <c r="AH6" s="63"/>
      <c r="AI6" s="27">
        <f t="shared" si="9"/>
        <v>1188</v>
      </c>
      <c r="AJ6" s="57">
        <f t="shared" si="10"/>
        <v>1030</v>
      </c>
      <c r="AK6" s="63">
        <f t="shared" si="11"/>
        <v>33.333333333333329</v>
      </c>
      <c r="AL6" s="63">
        <f t="shared" si="11"/>
        <v>33.333333333333329</v>
      </c>
      <c r="AM6" s="25">
        <f t="shared" si="11"/>
        <v>33.333333333333329</v>
      </c>
      <c r="AN6" s="63">
        <f t="shared" si="12"/>
        <v>32.621359223300971</v>
      </c>
      <c r="AO6" s="63">
        <f t="shared" si="12"/>
        <v>33.689320388349515</v>
      </c>
      <c r="AP6" s="25">
        <f t="shared" si="12"/>
        <v>33.689320388349515</v>
      </c>
      <c r="AQ6" s="63">
        <f t="shared" si="13"/>
        <v>-2.135922330097074</v>
      </c>
      <c r="AR6" s="63">
        <f t="shared" si="13"/>
        <v>1.0679611650485583</v>
      </c>
      <c r="AS6" s="25">
        <f t="shared" si="13"/>
        <v>1.0679611650485583</v>
      </c>
      <c r="AT6" s="63">
        <f t="shared" si="14"/>
        <v>-0.711974110032358</v>
      </c>
      <c r="AU6" s="63">
        <f t="shared" si="14"/>
        <v>0.3559870550161861</v>
      </c>
      <c r="AV6" s="63">
        <f t="shared" si="14"/>
        <v>0.3559870550161861</v>
      </c>
      <c r="AW6" s="63"/>
      <c r="AX6" s="63"/>
      <c r="AZ6" t="s">
        <v>46</v>
      </c>
    </row>
    <row r="7" spans="1:52" x14ac:dyDescent="0.3">
      <c r="A7" s="21">
        <v>5</v>
      </c>
      <c r="B7" s="21">
        <f t="shared" si="15"/>
        <v>236</v>
      </c>
      <c r="C7">
        <f t="shared" si="16"/>
        <v>236</v>
      </c>
      <c r="D7">
        <f t="shared" si="16"/>
        <v>236</v>
      </c>
      <c r="E7">
        <f t="shared" si="16"/>
        <v>236</v>
      </c>
      <c r="F7">
        <f>SUMIF($A$12:$A$333,"="&amp;$A7,F$12:F336)</f>
        <v>210</v>
      </c>
      <c r="G7">
        <f>SUMIF($A$12:$A$333,"="&amp;$A7,G$12:G336)</f>
        <v>198</v>
      </c>
      <c r="H7">
        <f>SUMIF($A$12:$A$333,"="&amp;$A7,H$12:H336)</f>
        <v>200</v>
      </c>
      <c r="I7">
        <f t="shared" si="17"/>
        <v>392</v>
      </c>
      <c r="J7">
        <f t="shared" si="17"/>
        <v>402</v>
      </c>
      <c r="K7">
        <f t="shared" si="17"/>
        <v>386</v>
      </c>
      <c r="L7">
        <f t="shared" si="17"/>
        <v>419</v>
      </c>
      <c r="M7">
        <f t="shared" si="17"/>
        <v>389</v>
      </c>
      <c r="N7">
        <f t="shared" si="17"/>
        <v>372</v>
      </c>
      <c r="O7" s="55">
        <f t="shared" si="18"/>
        <v>0.41114982578397213</v>
      </c>
      <c r="P7" s="10">
        <f t="shared" si="19"/>
        <v>8.2229965156794427E-2</v>
      </c>
      <c r="Q7" s="55">
        <f t="shared" si="1"/>
        <v>1</v>
      </c>
      <c r="R7" s="55">
        <f t="shared" si="2"/>
        <v>1</v>
      </c>
      <c r="S7" s="55">
        <f t="shared" si="3"/>
        <v>1</v>
      </c>
      <c r="T7" s="10">
        <f t="shared" si="4"/>
        <v>3</v>
      </c>
      <c r="U7" s="55">
        <f t="shared" si="5"/>
        <v>0.88983050847457623</v>
      </c>
      <c r="V7" s="55">
        <f t="shared" si="5"/>
        <v>0.83898305084745761</v>
      </c>
      <c r="W7" s="55">
        <f t="shared" si="5"/>
        <v>0.84745762711864403</v>
      </c>
      <c r="X7" s="10">
        <f t="shared" si="6"/>
        <v>2.5762711864406778</v>
      </c>
      <c r="Y7" s="63">
        <f t="shared" si="7"/>
        <v>-11.016949152542377</v>
      </c>
      <c r="Z7" s="63">
        <f t="shared" si="7"/>
        <v>-16.101694915254239</v>
      </c>
      <c r="AA7" s="63">
        <f t="shared" si="7"/>
        <v>-15.254237288135597</v>
      </c>
      <c r="AB7" s="25">
        <f t="shared" si="7"/>
        <v>-14.124293785310741</v>
      </c>
      <c r="AC7" s="63">
        <f t="shared" si="8"/>
        <v>-0.11016949152542377</v>
      </c>
      <c r="AD7" s="63">
        <f t="shared" si="8"/>
        <v>-0.16101694915254239</v>
      </c>
      <c r="AE7" s="63">
        <f t="shared" si="8"/>
        <v>-0.15254237288135597</v>
      </c>
      <c r="AF7" s="55">
        <f t="shared" si="8"/>
        <v>-0.42372881355932224</v>
      </c>
      <c r="AG7" s="55"/>
      <c r="AH7" s="63"/>
      <c r="AI7" s="27">
        <f t="shared" si="9"/>
        <v>708</v>
      </c>
      <c r="AJ7" s="57">
        <f t="shared" si="10"/>
        <v>608</v>
      </c>
      <c r="AK7" s="63">
        <f t="shared" si="11"/>
        <v>33.333333333333329</v>
      </c>
      <c r="AL7" s="63">
        <f t="shared" si="11"/>
        <v>33.333333333333329</v>
      </c>
      <c r="AM7" s="25">
        <f t="shared" si="11"/>
        <v>33.333333333333329</v>
      </c>
      <c r="AN7" s="63">
        <f t="shared" si="12"/>
        <v>34.539473684210527</v>
      </c>
      <c r="AO7" s="63">
        <f t="shared" si="12"/>
        <v>32.565789473684212</v>
      </c>
      <c r="AP7" s="25">
        <f t="shared" si="12"/>
        <v>32.894736842105267</v>
      </c>
      <c r="AQ7" s="63">
        <f t="shared" si="13"/>
        <v>3.618421052631597</v>
      </c>
      <c r="AR7" s="63">
        <f t="shared" si="13"/>
        <v>-2.302631578947349</v>
      </c>
      <c r="AS7" s="25">
        <f t="shared" si="13"/>
        <v>-1.315789473684184</v>
      </c>
      <c r="AT7" s="63">
        <f t="shared" si="14"/>
        <v>1.2061403508771988</v>
      </c>
      <c r="AU7" s="63">
        <f t="shared" si="14"/>
        <v>-0.7675438596491162</v>
      </c>
      <c r="AV7" s="63">
        <f t="shared" si="14"/>
        <v>-0.43859649122806132</v>
      </c>
      <c r="AW7" s="63"/>
      <c r="AX7" s="63"/>
    </row>
    <row r="8" spans="1:52" x14ac:dyDescent="0.3">
      <c r="A8" s="21">
        <v>6</v>
      </c>
      <c r="B8" s="21">
        <f t="shared" si="15"/>
        <v>166</v>
      </c>
      <c r="C8">
        <f t="shared" si="16"/>
        <v>166</v>
      </c>
      <c r="D8">
        <f t="shared" si="16"/>
        <v>166</v>
      </c>
      <c r="E8">
        <f t="shared" si="16"/>
        <v>166</v>
      </c>
      <c r="F8">
        <f>SUMIF($A$12:$A$333,"="&amp;$A8,F$12:F337)</f>
        <v>166</v>
      </c>
      <c r="G8">
        <f>SUMIF($A$12:$A$333,"="&amp;$A8,G$12:G337)</f>
        <v>166</v>
      </c>
      <c r="H8">
        <f>SUMIF($A$12:$A$333,"="&amp;$A8,H$12:H337)</f>
        <v>166</v>
      </c>
      <c r="I8">
        <f t="shared" si="17"/>
        <v>326</v>
      </c>
      <c r="J8">
        <f t="shared" si="17"/>
        <v>327</v>
      </c>
      <c r="K8">
        <f t="shared" si="17"/>
        <v>343</v>
      </c>
      <c r="L8">
        <f t="shared" si="17"/>
        <v>326</v>
      </c>
      <c r="M8">
        <f t="shared" si="17"/>
        <v>327</v>
      </c>
      <c r="N8">
        <f t="shared" si="17"/>
        <v>343</v>
      </c>
      <c r="O8" s="55">
        <f t="shared" si="18"/>
        <v>0.3470383275261324</v>
      </c>
      <c r="P8" s="10">
        <f t="shared" si="19"/>
        <v>5.7839721254355402E-2</v>
      </c>
      <c r="Q8" s="55">
        <f t="shared" si="1"/>
        <v>1</v>
      </c>
      <c r="R8" s="55">
        <f t="shared" si="2"/>
        <v>1</v>
      </c>
      <c r="S8" s="55">
        <f t="shared" si="3"/>
        <v>1</v>
      </c>
      <c r="T8" s="10">
        <f t="shared" si="4"/>
        <v>3</v>
      </c>
      <c r="U8" s="55">
        <f t="shared" si="5"/>
        <v>1</v>
      </c>
      <c r="V8" s="55">
        <f t="shared" si="5"/>
        <v>1</v>
      </c>
      <c r="W8" s="55">
        <f t="shared" si="5"/>
        <v>1</v>
      </c>
      <c r="X8" s="10">
        <f t="shared" si="6"/>
        <v>3</v>
      </c>
      <c r="Y8" s="63">
        <f t="shared" si="7"/>
        <v>0</v>
      </c>
      <c r="Z8" s="63">
        <f t="shared" si="7"/>
        <v>0</v>
      </c>
      <c r="AA8" s="63">
        <f t="shared" si="7"/>
        <v>0</v>
      </c>
      <c r="AB8" s="25">
        <f t="shared" si="7"/>
        <v>0</v>
      </c>
      <c r="AC8" s="63">
        <f t="shared" si="8"/>
        <v>0</v>
      </c>
      <c r="AD8" s="63">
        <f t="shared" si="8"/>
        <v>0</v>
      </c>
      <c r="AE8" s="63">
        <f t="shared" si="8"/>
        <v>0</v>
      </c>
      <c r="AF8" s="55">
        <f t="shared" si="8"/>
        <v>0</v>
      </c>
      <c r="AG8" s="55"/>
      <c r="AH8" s="63"/>
      <c r="AI8" s="27">
        <f t="shared" si="9"/>
        <v>498</v>
      </c>
      <c r="AJ8" s="57">
        <f t="shared" si="10"/>
        <v>498</v>
      </c>
      <c r="AK8" s="63">
        <f t="shared" si="11"/>
        <v>33.333333333333329</v>
      </c>
      <c r="AL8" s="63">
        <f t="shared" si="11"/>
        <v>33.333333333333329</v>
      </c>
      <c r="AM8" s="25">
        <f t="shared" si="11"/>
        <v>33.333333333333329</v>
      </c>
      <c r="AN8" s="63">
        <f t="shared" si="12"/>
        <v>33.333333333333329</v>
      </c>
      <c r="AO8" s="63">
        <f t="shared" si="12"/>
        <v>33.333333333333329</v>
      </c>
      <c r="AP8" s="25">
        <f t="shared" si="12"/>
        <v>33.333333333333329</v>
      </c>
      <c r="AQ8" s="63">
        <f t="shared" si="13"/>
        <v>0</v>
      </c>
      <c r="AR8" s="63">
        <f t="shared" si="13"/>
        <v>0</v>
      </c>
      <c r="AS8" s="25">
        <f t="shared" si="13"/>
        <v>0</v>
      </c>
      <c r="AT8" s="63">
        <f t="shared" si="14"/>
        <v>0</v>
      </c>
      <c r="AU8" s="63">
        <f t="shared" si="14"/>
        <v>0</v>
      </c>
      <c r="AV8" s="63">
        <f t="shared" si="14"/>
        <v>0</v>
      </c>
      <c r="AW8" s="63"/>
      <c r="AX8" s="63"/>
    </row>
    <row r="9" spans="1:52" x14ac:dyDescent="0.3">
      <c r="A9" s="21">
        <v>7</v>
      </c>
      <c r="B9" s="21">
        <f t="shared" si="15"/>
        <v>137</v>
      </c>
      <c r="C9">
        <f t="shared" si="16"/>
        <v>137</v>
      </c>
      <c r="D9">
        <f t="shared" si="16"/>
        <v>137</v>
      </c>
      <c r="E9">
        <f t="shared" si="16"/>
        <v>137</v>
      </c>
      <c r="F9">
        <f>SUMIF($A$12:$A$333,"="&amp;$A9,F$12:F338)</f>
        <v>137</v>
      </c>
      <c r="G9">
        <f>SUMIF($A$12:$A$333,"="&amp;$A9,G$12:G338)</f>
        <v>137</v>
      </c>
      <c r="H9">
        <f>SUMIF($A$12:$A$333,"="&amp;$A9,H$12:H338)</f>
        <v>137</v>
      </c>
      <c r="I9">
        <f t="shared" si="17"/>
        <v>308</v>
      </c>
      <c r="J9">
        <f t="shared" si="17"/>
        <v>311</v>
      </c>
      <c r="K9">
        <f t="shared" si="17"/>
        <v>340</v>
      </c>
      <c r="L9">
        <f t="shared" si="17"/>
        <v>308</v>
      </c>
      <c r="M9">
        <f t="shared" si="17"/>
        <v>311</v>
      </c>
      <c r="N9">
        <f t="shared" si="17"/>
        <v>340</v>
      </c>
      <c r="O9" s="55">
        <f t="shared" si="18"/>
        <v>0.3341463414634146</v>
      </c>
      <c r="P9" s="10">
        <f t="shared" si="19"/>
        <v>4.773519163763066E-2</v>
      </c>
      <c r="Q9" s="55">
        <f t="shared" si="1"/>
        <v>1</v>
      </c>
      <c r="R9" s="55">
        <f t="shared" si="2"/>
        <v>1</v>
      </c>
      <c r="S9" s="55">
        <f t="shared" si="3"/>
        <v>1</v>
      </c>
      <c r="T9" s="10">
        <f t="shared" si="4"/>
        <v>3</v>
      </c>
      <c r="U9" s="55">
        <f t="shared" si="5"/>
        <v>1</v>
      </c>
      <c r="V9" s="55">
        <f t="shared" si="5"/>
        <v>1</v>
      </c>
      <c r="W9" s="55">
        <f t="shared" si="5"/>
        <v>1</v>
      </c>
      <c r="X9" s="10">
        <f t="shared" si="6"/>
        <v>3</v>
      </c>
      <c r="Y9" s="63">
        <f t="shared" si="7"/>
        <v>0</v>
      </c>
      <c r="Z9" s="63">
        <f t="shared" si="7"/>
        <v>0</v>
      </c>
      <c r="AA9" s="63">
        <f t="shared" si="7"/>
        <v>0</v>
      </c>
      <c r="AB9" s="25">
        <f t="shared" si="7"/>
        <v>0</v>
      </c>
      <c r="AC9" s="63">
        <f t="shared" si="8"/>
        <v>0</v>
      </c>
      <c r="AD9" s="63">
        <f t="shared" si="8"/>
        <v>0</v>
      </c>
      <c r="AE9" s="63">
        <f t="shared" si="8"/>
        <v>0</v>
      </c>
      <c r="AF9" s="55">
        <f t="shared" si="8"/>
        <v>0</v>
      </c>
      <c r="AG9" s="55"/>
      <c r="AH9" s="63"/>
      <c r="AI9" s="27">
        <f t="shared" si="9"/>
        <v>411</v>
      </c>
      <c r="AJ9" s="57">
        <f t="shared" si="10"/>
        <v>411</v>
      </c>
      <c r="AK9" s="63">
        <f t="shared" si="11"/>
        <v>33.333333333333329</v>
      </c>
      <c r="AL9" s="63">
        <f t="shared" si="11"/>
        <v>33.333333333333329</v>
      </c>
      <c r="AM9" s="25">
        <f t="shared" si="11"/>
        <v>33.333333333333329</v>
      </c>
      <c r="AN9" s="63">
        <f t="shared" si="12"/>
        <v>33.333333333333329</v>
      </c>
      <c r="AO9" s="63">
        <f t="shared" si="12"/>
        <v>33.333333333333329</v>
      </c>
      <c r="AP9" s="25">
        <f t="shared" si="12"/>
        <v>33.333333333333329</v>
      </c>
      <c r="AQ9" s="63">
        <f t="shared" si="13"/>
        <v>0</v>
      </c>
      <c r="AR9" s="63">
        <f t="shared" si="13"/>
        <v>0</v>
      </c>
      <c r="AS9" s="25">
        <f t="shared" si="13"/>
        <v>0</v>
      </c>
      <c r="AT9" s="63">
        <f t="shared" si="14"/>
        <v>0</v>
      </c>
      <c r="AU9" s="63">
        <f t="shared" si="14"/>
        <v>0</v>
      </c>
      <c r="AV9" s="63">
        <f t="shared" si="14"/>
        <v>0</v>
      </c>
      <c r="AW9" s="63"/>
      <c r="AX9" s="63"/>
    </row>
    <row r="10" spans="1:52" s="4" customFormat="1" x14ac:dyDescent="0.3">
      <c r="A10" s="22">
        <v>8</v>
      </c>
      <c r="B10" s="21">
        <f t="shared" si="15"/>
        <v>83</v>
      </c>
      <c r="C10">
        <f t="shared" si="16"/>
        <v>83</v>
      </c>
      <c r="D10">
        <f t="shared" si="16"/>
        <v>83</v>
      </c>
      <c r="E10">
        <f t="shared" si="16"/>
        <v>83</v>
      </c>
      <c r="F10">
        <f>SUMIF($A$12:$A$333,"="&amp;$A10,F$12:F339)</f>
        <v>83</v>
      </c>
      <c r="G10">
        <f>SUMIF($A$12:$A$333,"="&amp;$A10,G$12:G339)</f>
        <v>83</v>
      </c>
      <c r="H10">
        <f>SUMIF($A$12:$A$333,"="&amp;$A10,H$12:H339)</f>
        <v>83</v>
      </c>
      <c r="I10">
        <f t="shared" si="17"/>
        <v>213</v>
      </c>
      <c r="J10">
        <f t="shared" si="17"/>
        <v>225</v>
      </c>
      <c r="K10">
        <f t="shared" si="17"/>
        <v>226</v>
      </c>
      <c r="L10">
        <f t="shared" si="17"/>
        <v>213</v>
      </c>
      <c r="M10">
        <f t="shared" si="17"/>
        <v>225</v>
      </c>
      <c r="N10">
        <f t="shared" si="17"/>
        <v>226</v>
      </c>
      <c r="O10" s="55">
        <f t="shared" si="18"/>
        <v>0.23135888501742161</v>
      </c>
      <c r="P10" s="10">
        <f t="shared" si="19"/>
        <v>2.8919860627177701E-2</v>
      </c>
      <c r="Q10" s="32">
        <f t="shared" si="1"/>
        <v>1</v>
      </c>
      <c r="R10" s="23">
        <f t="shared" si="2"/>
        <v>1</v>
      </c>
      <c r="S10" s="23">
        <f t="shared" si="3"/>
        <v>1</v>
      </c>
      <c r="T10" s="31">
        <f t="shared" si="4"/>
        <v>3</v>
      </c>
      <c r="U10" s="23">
        <f t="shared" si="5"/>
        <v>1</v>
      </c>
      <c r="V10" s="23">
        <f t="shared" si="5"/>
        <v>1</v>
      </c>
      <c r="W10" s="23">
        <f t="shared" si="5"/>
        <v>1</v>
      </c>
      <c r="X10" s="31">
        <f t="shared" si="6"/>
        <v>3</v>
      </c>
      <c r="Y10" s="11">
        <f t="shared" si="7"/>
        <v>0</v>
      </c>
      <c r="Z10" s="11">
        <f t="shared" si="7"/>
        <v>0</v>
      </c>
      <c r="AA10" s="11">
        <f t="shared" si="7"/>
        <v>0</v>
      </c>
      <c r="AB10" s="12">
        <f t="shared" si="7"/>
        <v>0</v>
      </c>
      <c r="AC10" s="11">
        <f t="shared" si="8"/>
        <v>0</v>
      </c>
      <c r="AD10" s="11">
        <f t="shared" si="8"/>
        <v>0</v>
      </c>
      <c r="AE10" s="11">
        <f t="shared" si="8"/>
        <v>0</v>
      </c>
      <c r="AF10" s="23">
        <f t="shared" si="8"/>
        <v>0</v>
      </c>
      <c r="AG10" s="55"/>
      <c r="AH10" s="63"/>
      <c r="AI10" s="27">
        <f t="shared" si="9"/>
        <v>249</v>
      </c>
      <c r="AJ10" s="57">
        <f t="shared" si="10"/>
        <v>249</v>
      </c>
      <c r="AK10" s="63">
        <f t="shared" si="11"/>
        <v>33.333333333333329</v>
      </c>
      <c r="AL10" s="63">
        <f t="shared" si="11"/>
        <v>33.333333333333329</v>
      </c>
      <c r="AM10" s="25">
        <f t="shared" si="11"/>
        <v>33.333333333333329</v>
      </c>
      <c r="AN10" s="63">
        <f t="shared" si="12"/>
        <v>33.333333333333329</v>
      </c>
      <c r="AO10" s="63">
        <f t="shared" si="12"/>
        <v>33.333333333333329</v>
      </c>
      <c r="AP10" s="25">
        <f t="shared" si="12"/>
        <v>33.333333333333329</v>
      </c>
      <c r="AQ10" s="63">
        <f t="shared" si="13"/>
        <v>0</v>
      </c>
      <c r="AR10" s="63">
        <f t="shared" si="13"/>
        <v>0</v>
      </c>
      <c r="AS10" s="25">
        <f t="shared" si="13"/>
        <v>0</v>
      </c>
      <c r="AT10" s="63">
        <f t="shared" si="14"/>
        <v>0</v>
      </c>
      <c r="AU10" s="63">
        <f t="shared" si="14"/>
        <v>0</v>
      </c>
      <c r="AV10" s="63">
        <f t="shared" si="14"/>
        <v>0</v>
      </c>
      <c r="AW10" s="63"/>
      <c r="AX10" s="63"/>
    </row>
    <row r="12" spans="1:52" x14ac:dyDescent="0.3">
      <c r="A12">
        <v>2</v>
      </c>
      <c r="B12">
        <v>3</v>
      </c>
      <c r="C12">
        <v>1</v>
      </c>
      <c r="D12">
        <v>3</v>
      </c>
      <c r="E12">
        <v>2</v>
      </c>
      <c r="F12">
        <v>1</v>
      </c>
      <c r="G12">
        <v>1</v>
      </c>
      <c r="H12">
        <v>1</v>
      </c>
      <c r="I12">
        <v>1</v>
      </c>
      <c r="J12">
        <v>3</v>
      </c>
      <c r="K12">
        <v>2</v>
      </c>
      <c r="L12">
        <v>2</v>
      </c>
      <c r="M12">
        <v>2</v>
      </c>
      <c r="N12" s="57">
        <v>2</v>
      </c>
      <c r="O12">
        <f t="shared" ref="O12:O32" si="20">SUM(I12:K12)/B12</f>
        <v>2</v>
      </c>
      <c r="Q12" s="67" t="s">
        <v>47</v>
      </c>
      <c r="R12" s="65"/>
      <c r="S12" s="65"/>
      <c r="T12" s="66"/>
      <c r="U12" s="67" t="s">
        <v>48</v>
      </c>
      <c r="V12" s="65"/>
      <c r="W12" s="65"/>
      <c r="X12" s="66"/>
      <c r="Y12" s="67" t="s">
        <v>49</v>
      </c>
      <c r="Z12" s="65"/>
      <c r="AA12" s="65"/>
      <c r="AB12" s="66"/>
      <c r="AC12" s="67" t="s">
        <v>37</v>
      </c>
      <c r="AD12" s="65"/>
      <c r="AE12" s="65"/>
      <c r="AF12" s="65"/>
      <c r="AK12" s="67" t="s">
        <v>50</v>
      </c>
      <c r="AL12" s="65"/>
      <c r="AM12" s="66"/>
      <c r="AN12" s="67" t="s">
        <v>39</v>
      </c>
      <c r="AO12" s="65"/>
      <c r="AP12" s="66"/>
      <c r="AQ12" s="64" t="s">
        <v>51</v>
      </c>
      <c r="AR12" s="65"/>
      <c r="AS12" s="66"/>
      <c r="AT12" s="64" t="s">
        <v>37</v>
      </c>
      <c r="AU12" s="65"/>
      <c r="AV12" s="65"/>
    </row>
    <row r="13" spans="1:52" x14ac:dyDescent="0.3">
      <c r="A13">
        <v>3</v>
      </c>
      <c r="B13">
        <v>38</v>
      </c>
      <c r="C13">
        <v>37</v>
      </c>
      <c r="D13">
        <v>32</v>
      </c>
      <c r="E13">
        <v>33</v>
      </c>
      <c r="F13">
        <v>28</v>
      </c>
      <c r="G13">
        <v>31</v>
      </c>
      <c r="H13">
        <v>32</v>
      </c>
      <c r="I13">
        <v>42</v>
      </c>
      <c r="J13">
        <v>33</v>
      </c>
      <c r="K13">
        <v>39</v>
      </c>
      <c r="L13">
        <v>34</v>
      </c>
      <c r="M13">
        <v>41</v>
      </c>
      <c r="N13" s="57">
        <v>39</v>
      </c>
      <c r="O13">
        <f t="shared" si="20"/>
        <v>3</v>
      </c>
      <c r="Q13" s="58">
        <v>1</v>
      </c>
      <c r="R13" s="61">
        <v>2</v>
      </c>
      <c r="S13" s="61">
        <v>3</v>
      </c>
      <c r="T13" s="62" t="s">
        <v>52</v>
      </c>
      <c r="U13" s="61">
        <v>1</v>
      </c>
      <c r="V13" s="61">
        <v>2</v>
      </c>
      <c r="W13" s="26">
        <v>3</v>
      </c>
      <c r="X13" s="62" t="s">
        <v>52</v>
      </c>
      <c r="Y13" s="61">
        <v>1</v>
      </c>
      <c r="Z13" s="61">
        <v>2</v>
      </c>
      <c r="AA13" s="61">
        <v>3</v>
      </c>
      <c r="AB13" s="62" t="s">
        <v>52</v>
      </c>
      <c r="AC13" s="61">
        <v>1</v>
      </c>
      <c r="AD13" s="61">
        <v>2</v>
      </c>
      <c r="AE13" s="61">
        <v>3</v>
      </c>
      <c r="AF13" s="61"/>
      <c r="AI13" t="s">
        <v>53</v>
      </c>
      <c r="AJ13" t="s">
        <v>14</v>
      </c>
      <c r="AK13" s="33">
        <v>1</v>
      </c>
      <c r="AL13">
        <v>2</v>
      </c>
      <c r="AM13" s="57">
        <v>3</v>
      </c>
      <c r="AN13" s="33">
        <v>1</v>
      </c>
      <c r="AO13">
        <v>2</v>
      </c>
      <c r="AP13" s="57">
        <v>3</v>
      </c>
      <c r="AQ13">
        <v>1</v>
      </c>
      <c r="AR13">
        <v>2</v>
      </c>
      <c r="AS13" s="57">
        <v>3</v>
      </c>
      <c r="AT13">
        <v>1</v>
      </c>
      <c r="AU13">
        <v>2</v>
      </c>
      <c r="AV13" s="57">
        <v>3</v>
      </c>
    </row>
    <row r="14" spans="1:52" x14ac:dyDescent="0.3">
      <c r="A14">
        <v>4</v>
      </c>
      <c r="B14">
        <v>15</v>
      </c>
      <c r="C14">
        <v>15</v>
      </c>
      <c r="D14">
        <v>15</v>
      </c>
      <c r="E14">
        <v>15</v>
      </c>
      <c r="F14">
        <v>10</v>
      </c>
      <c r="G14">
        <v>13</v>
      </c>
      <c r="H14">
        <v>15</v>
      </c>
      <c r="I14">
        <v>19</v>
      </c>
      <c r="J14">
        <v>19</v>
      </c>
      <c r="K14">
        <v>22</v>
      </c>
      <c r="L14">
        <v>13</v>
      </c>
      <c r="M14">
        <v>21</v>
      </c>
      <c r="N14" s="57">
        <v>26</v>
      </c>
      <c r="O14">
        <f t="shared" si="20"/>
        <v>4</v>
      </c>
      <c r="P14" s="21"/>
      <c r="Q14" s="32">
        <f>I3/$B$3</f>
        <v>1.2341463414634146</v>
      </c>
      <c r="R14" s="23">
        <f>J3/$B$3</f>
        <v>1.2498257839721254</v>
      </c>
      <c r="S14" s="23">
        <f>K3/$B$3</f>
        <v>1.2536585365853659</v>
      </c>
      <c r="T14" s="31">
        <f t="shared" ref="T14:T21" si="21">Q14+R14+S14</f>
        <v>3.7376306620209059</v>
      </c>
      <c r="U14" s="32">
        <f>L3/$B$3</f>
        <v>1.2400696864111498</v>
      </c>
      <c r="V14" s="23">
        <f>M3/$B$3</f>
        <v>1.2498257839721254</v>
      </c>
      <c r="W14" s="23">
        <f>N3/$B$3</f>
        <v>1.2477351916376307</v>
      </c>
      <c r="X14" s="31">
        <f>(L3+M3+N3)/B3</f>
        <v>3.7376306620209059</v>
      </c>
      <c r="Y14" s="23">
        <f t="shared" ref="Y14:AB21" si="22">(U14-Q14)/Q14</f>
        <v>4.7995482778091262E-3</v>
      </c>
      <c r="Z14" s="23">
        <f t="shared" si="22"/>
        <v>0</v>
      </c>
      <c r="AA14" s="23">
        <f t="shared" si="22"/>
        <v>-4.724847137298478E-3</v>
      </c>
      <c r="AB14" s="31">
        <f t="shared" si="22"/>
        <v>0</v>
      </c>
      <c r="AC14" s="29">
        <f t="shared" ref="AC14:AF21" si="23">U14-Q14</f>
        <v>5.9233449477351652E-3</v>
      </c>
      <c r="AD14" s="11">
        <f t="shared" si="23"/>
        <v>0</v>
      </c>
      <c r="AE14" s="11">
        <f t="shared" si="23"/>
        <v>-5.9233449477351652E-3</v>
      </c>
      <c r="AF14" s="23">
        <f t="shared" si="23"/>
        <v>0</v>
      </c>
      <c r="AI14" s="28">
        <f t="shared" ref="AI14:AI21" si="24">SUM(I3:K3)</f>
        <v>10727</v>
      </c>
      <c r="AJ14" s="4">
        <f t="shared" ref="AJ14:AJ21" si="25">SUM(L3:N3)</f>
        <v>10727</v>
      </c>
      <c r="AK14" s="32">
        <f t="shared" ref="AK14:AM21" si="26">I3/$AI14*100</f>
        <v>33.01948354619185</v>
      </c>
      <c r="AL14" s="23">
        <f t="shared" si="26"/>
        <v>33.438985736925517</v>
      </c>
      <c r="AM14" s="31">
        <f t="shared" si="26"/>
        <v>33.541530716882633</v>
      </c>
      <c r="AN14" s="32">
        <f t="shared" ref="AN14:AP21" si="27">L3/$AJ14*100</f>
        <v>33.177962151580125</v>
      </c>
      <c r="AO14" s="23">
        <f t="shared" si="27"/>
        <v>33.438985736925517</v>
      </c>
      <c r="AP14" s="31">
        <f t="shared" si="27"/>
        <v>33.383052111494358</v>
      </c>
      <c r="AQ14" s="23">
        <f t="shared" ref="AQ14:AS21" si="28">(AN14-AK14)/AK14*100</f>
        <v>0.47995482778092269</v>
      </c>
      <c r="AR14" s="23">
        <f t="shared" si="28"/>
        <v>0</v>
      </c>
      <c r="AS14" s="12">
        <f t="shared" si="28"/>
        <v>-0.47248471372985767</v>
      </c>
      <c r="AT14" s="55">
        <f t="shared" ref="AT14:AV21" si="29">AN14-AK14</f>
        <v>0.15847860538827518</v>
      </c>
      <c r="AU14" s="55">
        <f t="shared" si="29"/>
        <v>0</v>
      </c>
      <c r="AV14" s="55">
        <f t="shared" si="29"/>
        <v>-0.15847860538827518</v>
      </c>
    </row>
    <row r="15" spans="1:52" x14ac:dyDescent="0.3">
      <c r="A15">
        <v>5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2</v>
      </c>
      <c r="I15">
        <v>7</v>
      </c>
      <c r="J15">
        <v>7</v>
      </c>
      <c r="K15">
        <v>6</v>
      </c>
      <c r="L15">
        <v>8</v>
      </c>
      <c r="M15">
        <v>9</v>
      </c>
      <c r="N15" s="57">
        <v>3</v>
      </c>
      <c r="O15">
        <f t="shared" si="20"/>
        <v>5</v>
      </c>
      <c r="P15" s="25"/>
      <c r="Q15" s="30">
        <f t="shared" ref="Q15:S21" si="30">I4/$B4</f>
        <v>0.69339622641509435</v>
      </c>
      <c r="R15" s="55">
        <f t="shared" si="30"/>
        <v>0.660377358490566</v>
      </c>
      <c r="S15" s="55">
        <f t="shared" si="30"/>
        <v>0.64622641509433965</v>
      </c>
      <c r="T15" s="47">
        <f t="shared" si="21"/>
        <v>2</v>
      </c>
      <c r="U15" s="30">
        <f t="shared" ref="U15:W21" si="31">L4/$B4</f>
        <v>0.63207547169811318</v>
      </c>
      <c r="V15" s="34">
        <f t="shared" si="31"/>
        <v>0.59905660377358494</v>
      </c>
      <c r="W15" s="34">
        <f t="shared" si="31"/>
        <v>0.76886792452830188</v>
      </c>
      <c r="X15" s="10">
        <f t="shared" ref="X15:X21" si="32">SUM(U15:W15)</f>
        <v>2</v>
      </c>
      <c r="Y15" s="55">
        <f t="shared" si="22"/>
        <v>-8.843537414965992E-2</v>
      </c>
      <c r="Z15" s="55">
        <f t="shared" si="22"/>
        <v>-9.2857142857142763E-2</v>
      </c>
      <c r="AA15" s="55">
        <f t="shared" si="22"/>
        <v>0.18978102189781018</v>
      </c>
      <c r="AB15" s="10">
        <f t="shared" si="22"/>
        <v>0</v>
      </c>
      <c r="AC15" s="63">
        <f t="shared" si="23"/>
        <v>-6.1320754716981174E-2</v>
      </c>
      <c r="AD15" s="63">
        <f t="shared" si="23"/>
        <v>-6.1320754716981063E-2</v>
      </c>
      <c r="AE15" s="63">
        <f t="shared" si="23"/>
        <v>0.12264150943396224</v>
      </c>
      <c r="AF15" s="55">
        <f t="shared" si="23"/>
        <v>0</v>
      </c>
      <c r="AI15" s="27">
        <f t="shared" si="24"/>
        <v>424</v>
      </c>
      <c r="AJ15" s="57">
        <f t="shared" si="25"/>
        <v>424</v>
      </c>
      <c r="AK15" s="30">
        <f t="shared" si="26"/>
        <v>34.669811320754718</v>
      </c>
      <c r="AL15" s="55">
        <f t="shared" si="26"/>
        <v>33.018867924528301</v>
      </c>
      <c r="AM15" s="10">
        <f t="shared" si="26"/>
        <v>32.311320754716981</v>
      </c>
      <c r="AN15" s="30">
        <f t="shared" si="27"/>
        <v>31.60377358490566</v>
      </c>
      <c r="AO15" s="55">
        <f t="shared" si="27"/>
        <v>29.952830188679247</v>
      </c>
      <c r="AP15" s="10">
        <f t="shared" si="27"/>
        <v>38.443396226415096</v>
      </c>
      <c r="AQ15" s="63">
        <f t="shared" si="28"/>
        <v>-8.84353741496599</v>
      </c>
      <c r="AR15" s="27">
        <f t="shared" si="28"/>
        <v>-9.2857142857142794</v>
      </c>
      <c r="AS15" s="21">
        <f t="shared" si="28"/>
        <v>18.97810218978103</v>
      </c>
      <c r="AT15" s="55">
        <f t="shared" si="29"/>
        <v>-3.0660377358490578</v>
      </c>
      <c r="AU15" s="63">
        <f t="shared" si="29"/>
        <v>-3.0660377358490543</v>
      </c>
      <c r="AV15" s="63">
        <f t="shared" si="29"/>
        <v>6.1320754716981156</v>
      </c>
      <c r="AW15">
        <f t="shared" ref="AW15:AW21" si="33">AI15/$AI$14</f>
        <v>3.9526428638016219E-2</v>
      </c>
      <c r="AX15" s="20">
        <f t="shared" ref="AX15:AX21" si="34">AJ15/$AJ$14</f>
        <v>3.9526428638016219E-2</v>
      </c>
      <c r="AY15">
        <f t="shared" ref="AY15:AY21" si="35">O4/$O$3</f>
        <v>3.9526428638016219E-2</v>
      </c>
    </row>
    <row r="16" spans="1:52" x14ac:dyDescent="0.3">
      <c r="A16">
        <v>6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8</v>
      </c>
      <c r="J16">
        <v>8</v>
      </c>
      <c r="K16">
        <v>8</v>
      </c>
      <c r="L16">
        <v>8</v>
      </c>
      <c r="M16">
        <v>8</v>
      </c>
      <c r="N16" s="57">
        <v>8</v>
      </c>
      <c r="O16">
        <f t="shared" si="20"/>
        <v>6</v>
      </c>
      <c r="P16" s="25"/>
      <c r="Q16" s="30">
        <f t="shared" si="30"/>
        <v>0.98597560975609755</v>
      </c>
      <c r="R16" s="55">
        <f t="shared" si="30"/>
        <v>1.0189024390243901</v>
      </c>
      <c r="S16" s="55">
        <f t="shared" si="30"/>
        <v>0.99512195121951219</v>
      </c>
      <c r="T16" s="10">
        <f t="shared" si="21"/>
        <v>3</v>
      </c>
      <c r="U16" s="30">
        <f t="shared" si="31"/>
        <v>1.0024390243902439</v>
      </c>
      <c r="V16" s="55">
        <f t="shared" si="31"/>
        <v>1.022560975609756</v>
      </c>
      <c r="W16" s="55">
        <f t="shared" si="31"/>
        <v>0.97499999999999998</v>
      </c>
      <c r="X16" s="10">
        <f t="shared" si="32"/>
        <v>3</v>
      </c>
      <c r="Y16" s="55">
        <f t="shared" si="22"/>
        <v>1.6697588126159568E-2</v>
      </c>
      <c r="Z16" s="55">
        <f t="shared" si="22"/>
        <v>3.5906642728904883E-3</v>
      </c>
      <c r="AA16" s="55">
        <f t="shared" si="22"/>
        <v>-2.0220588235294136E-2</v>
      </c>
      <c r="AB16" s="10">
        <f t="shared" si="22"/>
        <v>0</v>
      </c>
      <c r="AC16" s="63">
        <f t="shared" si="23"/>
        <v>1.6463414634146356E-2</v>
      </c>
      <c r="AD16" s="63">
        <f t="shared" si="23"/>
        <v>3.6585365853658569E-3</v>
      </c>
      <c r="AE16" s="63">
        <f t="shared" si="23"/>
        <v>-2.0121951219512213E-2</v>
      </c>
      <c r="AF16" s="55">
        <f t="shared" si="23"/>
        <v>0</v>
      </c>
      <c r="AI16" s="27">
        <f t="shared" si="24"/>
        <v>4920</v>
      </c>
      <c r="AJ16" s="57">
        <f t="shared" si="25"/>
        <v>4920</v>
      </c>
      <c r="AK16" s="30">
        <f t="shared" si="26"/>
        <v>32.865853658536587</v>
      </c>
      <c r="AL16" s="55">
        <f t="shared" si="26"/>
        <v>33.963414634146346</v>
      </c>
      <c r="AM16" s="10">
        <f t="shared" si="26"/>
        <v>33.170731707317074</v>
      </c>
      <c r="AN16" s="30">
        <f t="shared" si="27"/>
        <v>33.414634146341463</v>
      </c>
      <c r="AO16" s="55">
        <f t="shared" si="27"/>
        <v>34.085365853658537</v>
      </c>
      <c r="AP16" s="10">
        <f t="shared" si="27"/>
        <v>32.5</v>
      </c>
      <c r="AQ16" s="55">
        <f t="shared" si="28"/>
        <v>1.6697588126159502</v>
      </c>
      <c r="AR16" s="27">
        <f t="shared" si="28"/>
        <v>0.35906642728903565</v>
      </c>
      <c r="AS16" s="21">
        <f t="shared" si="28"/>
        <v>-2.0220588235294148</v>
      </c>
      <c r="AT16" s="55">
        <f t="shared" si="29"/>
        <v>0.54878048780487632</v>
      </c>
      <c r="AU16" s="55">
        <f t="shared" si="29"/>
        <v>0.12195121951219079</v>
      </c>
      <c r="AV16" s="63">
        <f t="shared" si="29"/>
        <v>-0.67073170731707421</v>
      </c>
      <c r="AW16">
        <f t="shared" si="33"/>
        <v>0.45865572853547126</v>
      </c>
      <c r="AX16" s="20">
        <f t="shared" si="34"/>
        <v>0.45865572853547126</v>
      </c>
      <c r="AY16">
        <f t="shared" si="35"/>
        <v>0.45865572853547121</v>
      </c>
    </row>
    <row r="17" spans="1:53" x14ac:dyDescent="0.3">
      <c r="A17">
        <v>7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8</v>
      </c>
      <c r="J17">
        <v>9</v>
      </c>
      <c r="K17">
        <v>11</v>
      </c>
      <c r="L17">
        <v>8</v>
      </c>
      <c r="M17">
        <v>9</v>
      </c>
      <c r="N17" s="57">
        <v>11</v>
      </c>
      <c r="O17">
        <f t="shared" si="20"/>
        <v>7</v>
      </c>
      <c r="P17" s="25"/>
      <c r="Q17" s="30">
        <f t="shared" si="30"/>
        <v>1.3611111111111112</v>
      </c>
      <c r="R17" s="55">
        <f t="shared" si="30"/>
        <v>1.2904040404040404</v>
      </c>
      <c r="S17" s="55">
        <f t="shared" si="30"/>
        <v>1.3484848484848484</v>
      </c>
      <c r="T17" s="10">
        <f t="shared" si="21"/>
        <v>4</v>
      </c>
      <c r="U17" s="30">
        <f t="shared" si="31"/>
        <v>1.3005050505050506</v>
      </c>
      <c r="V17" s="55">
        <f t="shared" si="31"/>
        <v>1.3409090909090908</v>
      </c>
      <c r="W17" s="55">
        <f t="shared" si="31"/>
        <v>1.3585858585858586</v>
      </c>
      <c r="X17" s="10">
        <f t="shared" si="32"/>
        <v>4</v>
      </c>
      <c r="Y17" s="55">
        <f t="shared" si="22"/>
        <v>-4.452690166975877E-2</v>
      </c>
      <c r="Z17" s="55">
        <f t="shared" si="22"/>
        <v>3.9138943248532197E-2</v>
      </c>
      <c r="AA17" s="55">
        <f t="shared" si="22"/>
        <v>7.4906367041198988E-3</v>
      </c>
      <c r="AB17" s="10">
        <f t="shared" si="22"/>
        <v>0</v>
      </c>
      <c r="AC17" s="63">
        <f t="shared" si="23"/>
        <v>-6.0606060606060552E-2</v>
      </c>
      <c r="AD17" s="63">
        <f t="shared" si="23"/>
        <v>5.0505050505050386E-2</v>
      </c>
      <c r="AE17" s="63">
        <f t="shared" si="23"/>
        <v>1.0101010101010166E-2</v>
      </c>
      <c r="AF17" s="55">
        <f t="shared" si="23"/>
        <v>0</v>
      </c>
      <c r="AI17" s="27">
        <f t="shared" si="24"/>
        <v>1584</v>
      </c>
      <c r="AJ17" s="57">
        <f t="shared" si="25"/>
        <v>1584</v>
      </c>
      <c r="AK17" s="30">
        <f t="shared" si="26"/>
        <v>34.027777777777779</v>
      </c>
      <c r="AL17" s="55">
        <f t="shared" si="26"/>
        <v>32.26010101010101</v>
      </c>
      <c r="AM17" s="10">
        <f t="shared" si="26"/>
        <v>33.712121212121211</v>
      </c>
      <c r="AN17" s="30">
        <f t="shared" si="27"/>
        <v>32.512626262626263</v>
      </c>
      <c r="AO17" s="55">
        <f t="shared" si="27"/>
        <v>33.522727272727273</v>
      </c>
      <c r="AP17" s="10">
        <f t="shared" si="27"/>
        <v>33.964646464646464</v>
      </c>
      <c r="AQ17" s="55">
        <f t="shared" si="28"/>
        <v>-4.4526901669758825</v>
      </c>
      <c r="AR17" s="55">
        <f t="shared" si="28"/>
        <v>3.9138943248532301</v>
      </c>
      <c r="AS17" s="10">
        <f t="shared" si="28"/>
        <v>0.74906367041198529</v>
      </c>
      <c r="AT17" s="55">
        <f t="shared" si="29"/>
        <v>-1.5151515151515156</v>
      </c>
      <c r="AU17" s="55">
        <f t="shared" si="29"/>
        <v>1.262626262626263</v>
      </c>
      <c r="AV17" s="55">
        <f t="shared" si="29"/>
        <v>0.2525252525252526</v>
      </c>
      <c r="AW17">
        <f t="shared" si="33"/>
        <v>0.14766477113824927</v>
      </c>
      <c r="AX17" s="20">
        <f t="shared" si="34"/>
        <v>0.14766477113824927</v>
      </c>
      <c r="AY17">
        <f t="shared" si="35"/>
        <v>0.14766477113824927</v>
      </c>
    </row>
    <row r="18" spans="1:53" x14ac:dyDescent="0.3">
      <c r="A18">
        <v>8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5</v>
      </c>
      <c r="J18">
        <v>5</v>
      </c>
      <c r="K18">
        <v>6</v>
      </c>
      <c r="L18">
        <v>5</v>
      </c>
      <c r="M18">
        <v>5</v>
      </c>
      <c r="N18" s="57">
        <v>6</v>
      </c>
      <c r="O18">
        <f t="shared" si="20"/>
        <v>8</v>
      </c>
      <c r="P18" s="25"/>
      <c r="Q18" s="30">
        <f t="shared" si="30"/>
        <v>1.6610169491525424</v>
      </c>
      <c r="R18" s="55">
        <f t="shared" si="30"/>
        <v>1.7033898305084745</v>
      </c>
      <c r="S18" s="55">
        <f t="shared" si="30"/>
        <v>1.6355932203389831</v>
      </c>
      <c r="T18" s="10">
        <f t="shared" si="21"/>
        <v>5</v>
      </c>
      <c r="U18" s="30">
        <f t="shared" si="31"/>
        <v>1.7754237288135593</v>
      </c>
      <c r="V18" s="55">
        <f t="shared" si="31"/>
        <v>1.6483050847457628</v>
      </c>
      <c r="W18" s="55">
        <f t="shared" si="31"/>
        <v>1.576271186440678</v>
      </c>
      <c r="X18" s="10">
        <f t="shared" si="32"/>
        <v>5</v>
      </c>
      <c r="Y18" s="55">
        <f t="shared" si="22"/>
        <v>6.8877551020408115E-2</v>
      </c>
      <c r="Z18" s="55">
        <f t="shared" si="22"/>
        <v>-3.2338308457711358E-2</v>
      </c>
      <c r="AA18" s="55">
        <f t="shared" si="22"/>
        <v>-3.626943005181351E-2</v>
      </c>
      <c r="AB18" s="10">
        <f t="shared" si="22"/>
        <v>0</v>
      </c>
      <c r="AC18" s="63">
        <f t="shared" si="23"/>
        <v>0.11440677966101687</v>
      </c>
      <c r="AD18" s="63">
        <f t="shared" si="23"/>
        <v>-5.5084745762711718E-2</v>
      </c>
      <c r="AE18" s="63">
        <f t="shared" si="23"/>
        <v>-5.9322033898305149E-2</v>
      </c>
      <c r="AF18" s="55">
        <f t="shared" si="23"/>
        <v>0</v>
      </c>
      <c r="AI18" s="27">
        <f t="shared" si="24"/>
        <v>1180</v>
      </c>
      <c r="AJ18" s="57">
        <f t="shared" si="25"/>
        <v>1180</v>
      </c>
      <c r="AK18" s="30">
        <f t="shared" si="26"/>
        <v>33.220338983050844</v>
      </c>
      <c r="AL18" s="55">
        <f t="shared" si="26"/>
        <v>34.067796610169495</v>
      </c>
      <c r="AM18" s="10">
        <f t="shared" si="26"/>
        <v>32.711864406779661</v>
      </c>
      <c r="AN18" s="30">
        <f t="shared" si="27"/>
        <v>35.50847457627119</v>
      </c>
      <c r="AO18" s="55">
        <f t="shared" si="27"/>
        <v>32.96610169491526</v>
      </c>
      <c r="AP18" s="10">
        <f t="shared" si="27"/>
        <v>31.525423728813561</v>
      </c>
      <c r="AQ18" s="55">
        <f t="shared" si="28"/>
        <v>6.8877551020408392</v>
      </c>
      <c r="AR18" s="55">
        <f t="shared" si="28"/>
        <v>-3.2338308457711378</v>
      </c>
      <c r="AS18" s="10">
        <f t="shared" si="28"/>
        <v>-3.6269430051813427</v>
      </c>
      <c r="AT18" s="55">
        <f t="shared" si="29"/>
        <v>2.2881355932203462</v>
      </c>
      <c r="AU18" s="55">
        <f t="shared" si="29"/>
        <v>-1.1016949152542352</v>
      </c>
      <c r="AV18" s="55">
        <f t="shared" si="29"/>
        <v>-1.1864406779661003</v>
      </c>
      <c r="AW18">
        <f t="shared" si="33"/>
        <v>0.11000279668127155</v>
      </c>
      <c r="AX18" s="20">
        <f t="shared" si="34"/>
        <v>0.11000279668127155</v>
      </c>
      <c r="AY18">
        <f t="shared" si="35"/>
        <v>0.11000279668127157</v>
      </c>
    </row>
    <row r="19" spans="1:53" x14ac:dyDescent="0.3">
      <c r="A19" s="21">
        <v>2</v>
      </c>
      <c r="B19" s="21">
        <v>4</v>
      </c>
      <c r="C19">
        <v>2</v>
      </c>
      <c r="D19">
        <v>3</v>
      </c>
      <c r="E19" s="57">
        <v>3</v>
      </c>
      <c r="F19">
        <v>3</v>
      </c>
      <c r="G19">
        <v>1</v>
      </c>
      <c r="H19" s="57">
        <v>2</v>
      </c>
      <c r="I19">
        <v>2</v>
      </c>
      <c r="J19">
        <v>3</v>
      </c>
      <c r="K19" s="57">
        <v>3</v>
      </c>
      <c r="L19">
        <v>5</v>
      </c>
      <c r="M19">
        <v>1</v>
      </c>
      <c r="N19" s="57">
        <v>2</v>
      </c>
      <c r="O19">
        <f t="shared" si="20"/>
        <v>2</v>
      </c>
      <c r="P19" s="25"/>
      <c r="Q19" s="30">
        <f t="shared" si="30"/>
        <v>1.963855421686747</v>
      </c>
      <c r="R19" s="55">
        <f t="shared" si="30"/>
        <v>1.9698795180722892</v>
      </c>
      <c r="S19" s="55">
        <f t="shared" si="30"/>
        <v>2.0662650602409638</v>
      </c>
      <c r="T19" s="10">
        <f t="shared" si="21"/>
        <v>6</v>
      </c>
      <c r="U19" s="30">
        <f t="shared" si="31"/>
        <v>1.963855421686747</v>
      </c>
      <c r="V19" s="55">
        <f t="shared" si="31"/>
        <v>1.9698795180722892</v>
      </c>
      <c r="W19" s="55">
        <f t="shared" si="31"/>
        <v>2.0662650602409638</v>
      </c>
      <c r="X19" s="10">
        <f t="shared" si="32"/>
        <v>6</v>
      </c>
      <c r="Y19" s="55">
        <f t="shared" si="22"/>
        <v>0</v>
      </c>
      <c r="Z19" s="55">
        <f t="shared" si="22"/>
        <v>0</v>
      </c>
      <c r="AA19" s="55">
        <f t="shared" si="22"/>
        <v>0</v>
      </c>
      <c r="AB19" s="10">
        <f t="shared" si="22"/>
        <v>0</v>
      </c>
      <c r="AC19" s="63">
        <f t="shared" si="23"/>
        <v>0</v>
      </c>
      <c r="AD19" s="63">
        <f t="shared" si="23"/>
        <v>0</v>
      </c>
      <c r="AE19" s="63">
        <f t="shared" si="23"/>
        <v>0</v>
      </c>
      <c r="AF19" s="55">
        <f t="shared" si="23"/>
        <v>0</v>
      </c>
      <c r="AI19" s="27">
        <f t="shared" si="24"/>
        <v>996</v>
      </c>
      <c r="AJ19" s="57">
        <f t="shared" si="25"/>
        <v>996</v>
      </c>
      <c r="AK19" s="30">
        <f t="shared" si="26"/>
        <v>32.730923694779115</v>
      </c>
      <c r="AL19" s="55">
        <f t="shared" si="26"/>
        <v>32.831325301204814</v>
      </c>
      <c r="AM19" s="10">
        <f t="shared" si="26"/>
        <v>34.437751004016064</v>
      </c>
      <c r="AN19" s="30">
        <f t="shared" si="27"/>
        <v>32.730923694779115</v>
      </c>
      <c r="AO19" s="55">
        <f t="shared" si="27"/>
        <v>32.831325301204814</v>
      </c>
      <c r="AP19" s="10">
        <f t="shared" si="27"/>
        <v>34.437751004016064</v>
      </c>
      <c r="AQ19" s="55">
        <f t="shared" si="28"/>
        <v>0</v>
      </c>
      <c r="AR19" s="55">
        <f t="shared" si="28"/>
        <v>0</v>
      </c>
      <c r="AS19" s="10">
        <f t="shared" si="28"/>
        <v>0</v>
      </c>
      <c r="AT19" s="55">
        <f t="shared" si="29"/>
        <v>0</v>
      </c>
      <c r="AU19" s="55">
        <f t="shared" si="29"/>
        <v>0</v>
      </c>
      <c r="AV19" s="55">
        <f t="shared" si="29"/>
        <v>0</v>
      </c>
      <c r="AW19">
        <f t="shared" si="33"/>
        <v>9.2849818215717347E-2</v>
      </c>
      <c r="AX19" s="20">
        <f t="shared" si="34"/>
        <v>9.2849818215717347E-2</v>
      </c>
      <c r="AY19">
        <f t="shared" si="35"/>
        <v>9.2849818215717347E-2</v>
      </c>
    </row>
    <row r="20" spans="1:53" x14ac:dyDescent="0.3">
      <c r="A20" s="21">
        <v>3</v>
      </c>
      <c r="B20" s="21">
        <v>43</v>
      </c>
      <c r="C20">
        <v>38</v>
      </c>
      <c r="D20">
        <v>36</v>
      </c>
      <c r="E20" s="57">
        <v>41</v>
      </c>
      <c r="F20">
        <v>38</v>
      </c>
      <c r="G20">
        <v>27</v>
      </c>
      <c r="H20" s="57">
        <v>34</v>
      </c>
      <c r="I20">
        <v>40</v>
      </c>
      <c r="J20">
        <v>41</v>
      </c>
      <c r="K20" s="57">
        <v>48</v>
      </c>
      <c r="L20">
        <v>47</v>
      </c>
      <c r="M20">
        <v>32</v>
      </c>
      <c r="N20" s="57">
        <v>50</v>
      </c>
      <c r="O20">
        <f t="shared" si="20"/>
        <v>3</v>
      </c>
      <c r="P20" s="25"/>
      <c r="Q20" s="30">
        <f t="shared" si="30"/>
        <v>2.2481751824817517</v>
      </c>
      <c r="R20" s="55">
        <f t="shared" si="30"/>
        <v>2.2700729927007299</v>
      </c>
      <c r="S20" s="55">
        <f t="shared" si="30"/>
        <v>2.4817518248175183</v>
      </c>
      <c r="T20" s="10">
        <f t="shared" si="21"/>
        <v>7</v>
      </c>
      <c r="U20" s="30">
        <f t="shared" si="31"/>
        <v>2.2481751824817517</v>
      </c>
      <c r="V20" s="55">
        <f t="shared" si="31"/>
        <v>2.2700729927007299</v>
      </c>
      <c r="W20" s="55">
        <f t="shared" si="31"/>
        <v>2.4817518248175183</v>
      </c>
      <c r="X20" s="10">
        <f t="shared" si="32"/>
        <v>7</v>
      </c>
      <c r="Y20" s="55">
        <f t="shared" si="22"/>
        <v>0</v>
      </c>
      <c r="Z20" s="55">
        <f t="shared" si="22"/>
        <v>0</v>
      </c>
      <c r="AA20" s="55">
        <f t="shared" si="22"/>
        <v>0</v>
      </c>
      <c r="AB20" s="10">
        <f t="shared" si="22"/>
        <v>0</v>
      </c>
      <c r="AC20" s="63">
        <f t="shared" si="23"/>
        <v>0</v>
      </c>
      <c r="AD20" s="63">
        <f t="shared" si="23"/>
        <v>0</v>
      </c>
      <c r="AE20" s="63">
        <f t="shared" si="23"/>
        <v>0</v>
      </c>
      <c r="AF20" s="55">
        <f t="shared" si="23"/>
        <v>0</v>
      </c>
      <c r="AI20" s="27">
        <f t="shared" si="24"/>
        <v>959</v>
      </c>
      <c r="AJ20" s="57">
        <f t="shared" si="25"/>
        <v>959</v>
      </c>
      <c r="AK20" s="30">
        <f t="shared" si="26"/>
        <v>32.116788321167881</v>
      </c>
      <c r="AL20" s="55">
        <f t="shared" si="26"/>
        <v>32.429614181439</v>
      </c>
      <c r="AM20" s="10">
        <f t="shared" si="26"/>
        <v>35.453597497393119</v>
      </c>
      <c r="AN20" s="30">
        <f t="shared" si="27"/>
        <v>32.116788321167881</v>
      </c>
      <c r="AO20" s="55">
        <f t="shared" si="27"/>
        <v>32.429614181439</v>
      </c>
      <c r="AP20" s="10">
        <f t="shared" si="27"/>
        <v>35.453597497393119</v>
      </c>
      <c r="AQ20" s="55">
        <f t="shared" si="28"/>
        <v>0</v>
      </c>
      <c r="AR20" s="55">
        <f t="shared" si="28"/>
        <v>0</v>
      </c>
      <c r="AS20" s="10">
        <f t="shared" si="28"/>
        <v>0</v>
      </c>
      <c r="AT20" s="55">
        <f t="shared" si="29"/>
        <v>0</v>
      </c>
      <c r="AU20" s="55">
        <f t="shared" si="29"/>
        <v>0</v>
      </c>
      <c r="AV20" s="55">
        <f t="shared" si="29"/>
        <v>0</v>
      </c>
      <c r="AW20">
        <f t="shared" si="33"/>
        <v>8.940057798079612E-2</v>
      </c>
      <c r="AX20" s="20">
        <f t="shared" si="34"/>
        <v>8.940057798079612E-2</v>
      </c>
      <c r="AY20">
        <f t="shared" si="35"/>
        <v>8.940057798079612E-2</v>
      </c>
    </row>
    <row r="21" spans="1:53" x14ac:dyDescent="0.3">
      <c r="A21" s="21">
        <v>4</v>
      </c>
      <c r="B21" s="21">
        <v>6</v>
      </c>
      <c r="C21">
        <v>6</v>
      </c>
      <c r="D21">
        <v>6</v>
      </c>
      <c r="E21" s="57">
        <v>6</v>
      </c>
      <c r="F21">
        <v>4</v>
      </c>
      <c r="G21">
        <v>6</v>
      </c>
      <c r="H21" s="57">
        <v>6</v>
      </c>
      <c r="I21">
        <v>8</v>
      </c>
      <c r="J21">
        <v>7</v>
      </c>
      <c r="K21" s="57">
        <v>9</v>
      </c>
      <c r="L21">
        <v>5</v>
      </c>
      <c r="M21">
        <v>9</v>
      </c>
      <c r="N21" s="57">
        <v>10</v>
      </c>
      <c r="O21">
        <f t="shared" si="20"/>
        <v>4</v>
      </c>
      <c r="P21" s="25"/>
      <c r="Q21" s="32">
        <f t="shared" si="30"/>
        <v>2.5662650602409638</v>
      </c>
      <c r="R21" s="23">
        <f t="shared" si="30"/>
        <v>2.7108433734939759</v>
      </c>
      <c r="S21" s="23">
        <f t="shared" si="30"/>
        <v>2.7228915662650603</v>
      </c>
      <c r="T21" s="31">
        <f t="shared" si="21"/>
        <v>8</v>
      </c>
      <c r="U21" s="32">
        <f t="shared" si="31"/>
        <v>2.5662650602409638</v>
      </c>
      <c r="V21" s="23">
        <f t="shared" si="31"/>
        <v>2.7108433734939759</v>
      </c>
      <c r="W21" s="23">
        <f t="shared" si="31"/>
        <v>2.7228915662650603</v>
      </c>
      <c r="X21" s="31">
        <f t="shared" si="32"/>
        <v>8</v>
      </c>
      <c r="Y21" s="23">
        <f t="shared" si="22"/>
        <v>0</v>
      </c>
      <c r="Z21" s="23">
        <f t="shared" si="22"/>
        <v>0</v>
      </c>
      <c r="AA21" s="23">
        <f t="shared" si="22"/>
        <v>0</v>
      </c>
      <c r="AB21" s="31">
        <f t="shared" si="22"/>
        <v>0</v>
      </c>
      <c r="AC21" s="11">
        <f t="shared" si="23"/>
        <v>0</v>
      </c>
      <c r="AD21" s="11">
        <f t="shared" si="23"/>
        <v>0</v>
      </c>
      <c r="AE21" s="11">
        <f t="shared" si="23"/>
        <v>0</v>
      </c>
      <c r="AF21" s="23">
        <f t="shared" si="23"/>
        <v>0</v>
      </c>
      <c r="AI21" s="27">
        <f t="shared" si="24"/>
        <v>664</v>
      </c>
      <c r="AJ21" s="57">
        <f t="shared" si="25"/>
        <v>664</v>
      </c>
      <c r="AK21" s="30">
        <f t="shared" si="26"/>
        <v>32.078313253012048</v>
      </c>
      <c r="AL21" s="55">
        <f t="shared" si="26"/>
        <v>33.885542168674696</v>
      </c>
      <c r="AM21" s="10">
        <f t="shared" si="26"/>
        <v>34.036144578313255</v>
      </c>
      <c r="AN21" s="30">
        <f t="shared" si="27"/>
        <v>32.078313253012048</v>
      </c>
      <c r="AO21" s="55">
        <f t="shared" si="27"/>
        <v>33.885542168674696</v>
      </c>
      <c r="AP21" s="10">
        <f t="shared" si="27"/>
        <v>34.036144578313255</v>
      </c>
      <c r="AQ21" s="55">
        <f t="shared" si="28"/>
        <v>0</v>
      </c>
      <c r="AR21" s="55">
        <f t="shared" si="28"/>
        <v>0</v>
      </c>
      <c r="AS21" s="10">
        <f t="shared" si="28"/>
        <v>0</v>
      </c>
      <c r="AT21" s="55">
        <f t="shared" si="29"/>
        <v>0</v>
      </c>
      <c r="AU21" s="55">
        <f t="shared" si="29"/>
        <v>0</v>
      </c>
      <c r="AV21" s="55">
        <f t="shared" si="29"/>
        <v>0</v>
      </c>
      <c r="AW21">
        <f t="shared" si="33"/>
        <v>6.1899878810478232E-2</v>
      </c>
      <c r="AX21" s="20">
        <f t="shared" si="34"/>
        <v>6.1899878810478232E-2</v>
      </c>
      <c r="AY21">
        <f t="shared" si="35"/>
        <v>6.1899878810478232E-2</v>
      </c>
    </row>
    <row r="22" spans="1:53" x14ac:dyDescent="0.3">
      <c r="A22" s="21">
        <v>5</v>
      </c>
      <c r="B22" s="21">
        <v>11</v>
      </c>
      <c r="C22">
        <v>11</v>
      </c>
      <c r="D22">
        <v>11</v>
      </c>
      <c r="E22" s="57">
        <v>11</v>
      </c>
      <c r="F22">
        <v>11</v>
      </c>
      <c r="G22">
        <v>7</v>
      </c>
      <c r="H22" s="57">
        <v>10</v>
      </c>
      <c r="I22">
        <v>19</v>
      </c>
      <c r="J22">
        <v>19</v>
      </c>
      <c r="K22" s="57">
        <v>17</v>
      </c>
      <c r="L22">
        <v>26</v>
      </c>
      <c r="M22">
        <v>13</v>
      </c>
      <c r="N22" s="57">
        <v>16</v>
      </c>
      <c r="O22">
        <f t="shared" si="20"/>
        <v>5</v>
      </c>
      <c r="AK22" s="33"/>
      <c r="AN22" s="33"/>
    </row>
    <row r="23" spans="1:53" x14ac:dyDescent="0.3">
      <c r="A23" s="21">
        <v>6</v>
      </c>
      <c r="B23" s="21">
        <v>4</v>
      </c>
      <c r="C23">
        <v>4</v>
      </c>
      <c r="D23">
        <v>4</v>
      </c>
      <c r="E23" s="57">
        <v>4</v>
      </c>
      <c r="F23">
        <v>4</v>
      </c>
      <c r="G23">
        <v>4</v>
      </c>
      <c r="H23" s="57">
        <v>4</v>
      </c>
      <c r="I23">
        <v>9</v>
      </c>
      <c r="J23">
        <v>8</v>
      </c>
      <c r="K23" s="57">
        <v>7</v>
      </c>
      <c r="L23">
        <v>9</v>
      </c>
      <c r="M23">
        <v>8</v>
      </c>
      <c r="N23" s="57">
        <v>7</v>
      </c>
      <c r="O23">
        <f t="shared" si="20"/>
        <v>6</v>
      </c>
      <c r="Q23" s="67" t="s">
        <v>54</v>
      </c>
      <c r="R23" s="65"/>
      <c r="S23" s="65"/>
      <c r="T23" s="66"/>
      <c r="U23" s="67" t="s">
        <v>55</v>
      </c>
      <c r="V23" s="65"/>
      <c r="W23" s="65"/>
      <c r="X23" s="66"/>
      <c r="Y23" s="67" t="s">
        <v>36</v>
      </c>
      <c r="Z23" s="65"/>
      <c r="AA23" s="65"/>
      <c r="AB23" s="66"/>
      <c r="AC23" s="67" t="s">
        <v>37</v>
      </c>
      <c r="AD23" s="65"/>
      <c r="AE23" s="65"/>
      <c r="AF23" s="65"/>
      <c r="AK23" s="33"/>
      <c r="AN23" s="33"/>
    </row>
    <row r="24" spans="1:53" x14ac:dyDescent="0.3">
      <c r="A24" s="21">
        <v>7</v>
      </c>
      <c r="B24" s="21">
        <v>0</v>
      </c>
      <c r="C24">
        <v>0</v>
      </c>
      <c r="D24">
        <v>0</v>
      </c>
      <c r="E24" s="57">
        <v>0</v>
      </c>
      <c r="F24">
        <v>0</v>
      </c>
      <c r="G24">
        <v>0</v>
      </c>
      <c r="H24" s="57">
        <v>0</v>
      </c>
      <c r="I24">
        <v>0</v>
      </c>
      <c r="J24">
        <v>0</v>
      </c>
      <c r="K24" s="57">
        <v>0</v>
      </c>
      <c r="L24">
        <v>0</v>
      </c>
      <c r="M24">
        <v>0</v>
      </c>
      <c r="N24" s="57">
        <v>0</v>
      </c>
      <c r="O24" t="e">
        <f t="shared" si="20"/>
        <v>#DIV/0!</v>
      </c>
      <c r="Q24" s="58">
        <v>1</v>
      </c>
      <c r="R24" s="61">
        <v>2</v>
      </c>
      <c r="S24" s="61">
        <v>3</v>
      </c>
      <c r="T24" s="62" t="s">
        <v>52</v>
      </c>
      <c r="U24" s="61">
        <v>1</v>
      </c>
      <c r="V24" s="61">
        <v>2</v>
      </c>
      <c r="W24" s="26">
        <v>3</v>
      </c>
      <c r="X24" s="62" t="s">
        <v>52</v>
      </c>
      <c r="Y24" s="61">
        <v>1</v>
      </c>
      <c r="Z24" s="61">
        <v>2</v>
      </c>
      <c r="AA24" s="61">
        <v>3</v>
      </c>
      <c r="AB24" s="62" t="s">
        <v>52</v>
      </c>
      <c r="AC24" s="61">
        <v>1</v>
      </c>
      <c r="AD24" s="61">
        <v>2</v>
      </c>
      <c r="AE24" s="61">
        <v>3</v>
      </c>
      <c r="AF24" s="61"/>
      <c r="AK24" s="33"/>
      <c r="AN24" s="33"/>
    </row>
    <row r="25" spans="1:53" x14ac:dyDescent="0.3">
      <c r="A25" s="21">
        <v>8</v>
      </c>
      <c r="B25" s="21">
        <v>2</v>
      </c>
      <c r="C25">
        <v>2</v>
      </c>
      <c r="D25">
        <v>2</v>
      </c>
      <c r="E25" s="57">
        <v>2</v>
      </c>
      <c r="F25">
        <v>2</v>
      </c>
      <c r="G25">
        <v>2</v>
      </c>
      <c r="H25" s="57">
        <v>2</v>
      </c>
      <c r="I25">
        <v>5</v>
      </c>
      <c r="J25">
        <v>5</v>
      </c>
      <c r="K25" s="57">
        <v>6</v>
      </c>
      <c r="L25">
        <v>5</v>
      </c>
      <c r="M25">
        <v>5</v>
      </c>
      <c r="N25" s="57">
        <v>6</v>
      </c>
      <c r="O25">
        <f t="shared" si="20"/>
        <v>8</v>
      </c>
      <c r="Q25" s="32">
        <f t="shared" ref="Q25:S32" si="36">I3/C3</f>
        <v>1.3524245895379916</v>
      </c>
      <c r="R25" s="23">
        <f t="shared" si="36"/>
        <v>1.3571698827090428</v>
      </c>
      <c r="S25" s="23">
        <f t="shared" si="36"/>
        <v>1.3670212765957446</v>
      </c>
      <c r="T25" s="31">
        <f t="shared" ref="T25:T32" si="37">Q25+R25+S25</f>
        <v>4.0766157488427792</v>
      </c>
      <c r="U25" s="32">
        <f t="shared" ref="U25:W32" si="38">L3/F3</f>
        <v>1.5393598615916955</v>
      </c>
      <c r="V25" s="23">
        <f t="shared" si="38"/>
        <v>1.5302901023890785</v>
      </c>
      <c r="W25" s="23">
        <f t="shared" si="38"/>
        <v>1.5415411106328023</v>
      </c>
      <c r="X25" s="31">
        <f>U25+V25+W25</f>
        <v>4.6111910746135765</v>
      </c>
      <c r="Y25" s="23">
        <f t="shared" ref="Y25:AB32" si="39">(U25-Q25)/Q25*100</f>
        <v>13.82223256659092</v>
      </c>
      <c r="Z25" s="23">
        <f t="shared" si="39"/>
        <v>12.755972696245726</v>
      </c>
      <c r="AA25" s="23">
        <f t="shared" si="39"/>
        <v>12.766431439286716</v>
      </c>
      <c r="AB25" s="31">
        <f t="shared" si="39"/>
        <v>13.113213476706656</v>
      </c>
      <c r="AC25" s="29">
        <f t="shared" ref="AC25:AF32" si="40">U25-Q25</f>
        <v>0.18693527205370386</v>
      </c>
      <c r="AD25" s="11">
        <f t="shared" si="40"/>
        <v>0.17312021968003566</v>
      </c>
      <c r="AE25" s="11">
        <f t="shared" si="40"/>
        <v>0.17451983403705773</v>
      </c>
      <c r="AF25" s="23">
        <f t="shared" si="40"/>
        <v>0.53457532577079725</v>
      </c>
      <c r="AK25" s="33"/>
    </row>
    <row r="26" spans="1:53" x14ac:dyDescent="0.3">
      <c r="A26" s="21">
        <v>2</v>
      </c>
      <c r="B26" s="21">
        <v>8</v>
      </c>
      <c r="C26">
        <v>5</v>
      </c>
      <c r="D26">
        <v>5</v>
      </c>
      <c r="E26" s="57">
        <v>6</v>
      </c>
      <c r="F26">
        <v>3</v>
      </c>
      <c r="G26">
        <v>2</v>
      </c>
      <c r="H26" s="57">
        <v>6</v>
      </c>
      <c r="I26">
        <v>5</v>
      </c>
      <c r="J26">
        <v>5</v>
      </c>
      <c r="K26" s="57">
        <v>6</v>
      </c>
      <c r="L26">
        <v>5</v>
      </c>
      <c r="M26">
        <v>2</v>
      </c>
      <c r="N26" s="57">
        <v>9</v>
      </c>
      <c r="O26">
        <f t="shared" si="20"/>
        <v>2</v>
      </c>
      <c r="Q26" s="30">
        <f t="shared" si="36"/>
        <v>1</v>
      </c>
      <c r="R26" s="55">
        <f t="shared" si="36"/>
        <v>1</v>
      </c>
      <c r="S26" s="55">
        <f t="shared" si="36"/>
        <v>1</v>
      </c>
      <c r="T26" s="47">
        <f t="shared" si="37"/>
        <v>3</v>
      </c>
      <c r="U26" s="30">
        <f t="shared" si="38"/>
        <v>1.3535353535353536</v>
      </c>
      <c r="V26" s="55">
        <f t="shared" si="38"/>
        <v>1.3368421052631578</v>
      </c>
      <c r="W26" s="55">
        <f t="shared" si="38"/>
        <v>1.4424778761061947</v>
      </c>
      <c r="X26" s="10">
        <f t="shared" ref="X26:X32" si="41">SUM(L4:N4)/SUM(F4:H4)</f>
        <v>1.3811074918566775</v>
      </c>
      <c r="Y26" s="55">
        <f t="shared" si="39"/>
        <v>35.353535353535356</v>
      </c>
      <c r="Z26" s="55">
        <f t="shared" si="39"/>
        <v>33.68421052631578</v>
      </c>
      <c r="AA26" s="55">
        <f t="shared" si="39"/>
        <v>44.247787610619469</v>
      </c>
      <c r="AB26" s="10">
        <f t="shared" si="39"/>
        <v>-53.963083604777417</v>
      </c>
      <c r="AC26" s="63">
        <f t="shared" si="40"/>
        <v>0.35353535353535359</v>
      </c>
      <c r="AD26" s="63">
        <f t="shared" si="40"/>
        <v>0.33684210526315783</v>
      </c>
      <c r="AE26" s="63">
        <f t="shared" si="40"/>
        <v>0.44247787610619471</v>
      </c>
      <c r="AF26" s="55">
        <f t="shared" si="40"/>
        <v>-1.6188925081433225</v>
      </c>
    </row>
    <row r="27" spans="1:53" x14ac:dyDescent="0.3">
      <c r="A27" s="21">
        <v>3</v>
      </c>
      <c r="B27" s="21">
        <v>43</v>
      </c>
      <c r="C27">
        <v>39</v>
      </c>
      <c r="D27">
        <v>39</v>
      </c>
      <c r="E27" s="57">
        <v>42</v>
      </c>
      <c r="F27">
        <v>37</v>
      </c>
      <c r="G27">
        <v>34</v>
      </c>
      <c r="H27" s="57">
        <v>37</v>
      </c>
      <c r="I27">
        <v>40</v>
      </c>
      <c r="J27">
        <v>43</v>
      </c>
      <c r="K27" s="57">
        <v>46</v>
      </c>
      <c r="L27">
        <v>43</v>
      </c>
      <c r="M27">
        <v>40</v>
      </c>
      <c r="N27" s="57">
        <v>46</v>
      </c>
      <c r="O27">
        <f t="shared" si="20"/>
        <v>3</v>
      </c>
      <c r="Q27" s="30">
        <f t="shared" si="36"/>
        <v>1.1121045392022009</v>
      </c>
      <c r="R27" s="55">
        <f t="shared" si="36"/>
        <v>1.1252525252525252</v>
      </c>
      <c r="S27" s="55">
        <f t="shared" si="36"/>
        <v>1.1049424509140149</v>
      </c>
      <c r="T27" s="10">
        <f t="shared" si="37"/>
        <v>3.3422995153687411</v>
      </c>
      <c r="U27" s="30">
        <f t="shared" si="38"/>
        <v>1.2833723653395785</v>
      </c>
      <c r="V27" s="55">
        <f t="shared" si="38"/>
        <v>1.2723823975720789</v>
      </c>
      <c r="W27" s="55">
        <f t="shared" si="38"/>
        <v>1.2521534847298355</v>
      </c>
      <c r="X27" s="10">
        <f t="shared" si="41"/>
        <v>1.2693498452012384</v>
      </c>
      <c r="Y27" s="55">
        <f t="shared" si="39"/>
        <v>15.400335139378301</v>
      </c>
      <c r="Z27" s="55">
        <f t="shared" si="39"/>
        <v>13.07527590631582</v>
      </c>
      <c r="AA27" s="55">
        <f t="shared" si="39"/>
        <v>13.322959371689153</v>
      </c>
      <c r="AB27" s="10">
        <f t="shared" si="39"/>
        <v>-62.021660854616833</v>
      </c>
      <c r="AC27" s="63">
        <f t="shared" si="40"/>
        <v>0.17126782613737768</v>
      </c>
      <c r="AD27" s="63">
        <f t="shared" si="40"/>
        <v>0.14712987231955377</v>
      </c>
      <c r="AE27" s="63">
        <f t="shared" si="40"/>
        <v>0.14721103381582057</v>
      </c>
      <c r="AF27" s="55">
        <f t="shared" si="40"/>
        <v>-2.0729496701675028</v>
      </c>
      <c r="AY27">
        <v>1</v>
      </c>
      <c r="AZ27">
        <v>0.6</v>
      </c>
      <c r="BA27">
        <f>AY27*AZ27</f>
        <v>0.6</v>
      </c>
    </row>
    <row r="28" spans="1:53" x14ac:dyDescent="0.3">
      <c r="A28" s="21">
        <v>4</v>
      </c>
      <c r="B28" s="21">
        <v>8</v>
      </c>
      <c r="C28">
        <v>8</v>
      </c>
      <c r="D28">
        <v>8</v>
      </c>
      <c r="E28" s="57">
        <v>8</v>
      </c>
      <c r="F28">
        <v>7</v>
      </c>
      <c r="G28">
        <v>7</v>
      </c>
      <c r="H28" s="57">
        <v>8</v>
      </c>
      <c r="I28">
        <v>9</v>
      </c>
      <c r="J28">
        <v>14</v>
      </c>
      <c r="K28" s="57">
        <v>9</v>
      </c>
      <c r="L28">
        <v>8</v>
      </c>
      <c r="M28">
        <v>13</v>
      </c>
      <c r="N28" s="57">
        <v>11</v>
      </c>
      <c r="O28">
        <f t="shared" si="20"/>
        <v>4</v>
      </c>
      <c r="Q28" s="30">
        <f t="shared" si="36"/>
        <v>1.3611111111111112</v>
      </c>
      <c r="R28" s="55">
        <f t="shared" si="36"/>
        <v>1.2904040404040404</v>
      </c>
      <c r="S28" s="55">
        <f t="shared" si="36"/>
        <v>1.3484848484848484</v>
      </c>
      <c r="T28" s="10">
        <f t="shared" si="37"/>
        <v>4</v>
      </c>
      <c r="U28" s="30">
        <f t="shared" si="38"/>
        <v>1.5327380952380953</v>
      </c>
      <c r="V28" s="55">
        <f t="shared" si="38"/>
        <v>1.5302593659942363</v>
      </c>
      <c r="W28" s="55">
        <f t="shared" si="38"/>
        <v>1.5504322766570606</v>
      </c>
      <c r="X28" s="10">
        <f t="shared" si="41"/>
        <v>1.5378640776699029</v>
      </c>
      <c r="Y28" s="55">
        <f t="shared" si="39"/>
        <v>12.609329446064145</v>
      </c>
      <c r="Z28" s="55">
        <f t="shared" si="39"/>
        <v>18.58761427274316</v>
      </c>
      <c r="AA28" s="55">
        <f t="shared" si="39"/>
        <v>14.975876695916861</v>
      </c>
      <c r="AB28" s="10">
        <f t="shared" si="39"/>
        <v>-61.553398058252426</v>
      </c>
      <c r="AC28" s="63">
        <f t="shared" si="40"/>
        <v>0.17162698412698418</v>
      </c>
      <c r="AD28" s="63">
        <f t="shared" si="40"/>
        <v>0.23985532559019584</v>
      </c>
      <c r="AE28" s="63">
        <f t="shared" si="40"/>
        <v>0.20194742817221223</v>
      </c>
      <c r="AF28" s="55">
        <f t="shared" si="40"/>
        <v>-2.4621359223300971</v>
      </c>
      <c r="AX28">
        <f>6/20</f>
        <v>0.3</v>
      </c>
      <c r="AY28">
        <v>2</v>
      </c>
      <c r="AZ28">
        <v>0.4</v>
      </c>
      <c r="BA28">
        <f>AY28*AZ28</f>
        <v>0.8</v>
      </c>
    </row>
    <row r="29" spans="1:53" x14ac:dyDescent="0.3">
      <c r="A29" s="21">
        <v>5</v>
      </c>
      <c r="B29" s="21">
        <v>1</v>
      </c>
      <c r="C29">
        <v>1</v>
      </c>
      <c r="D29">
        <v>1</v>
      </c>
      <c r="E29" s="57">
        <v>1</v>
      </c>
      <c r="F29">
        <v>1</v>
      </c>
      <c r="G29">
        <v>0</v>
      </c>
      <c r="H29" s="57">
        <v>1</v>
      </c>
      <c r="I29">
        <v>2</v>
      </c>
      <c r="J29">
        <v>2</v>
      </c>
      <c r="K29" s="57">
        <v>1</v>
      </c>
      <c r="L29">
        <v>3</v>
      </c>
      <c r="M29">
        <v>0</v>
      </c>
      <c r="N29" s="57">
        <v>2</v>
      </c>
      <c r="O29">
        <f t="shared" si="20"/>
        <v>5</v>
      </c>
      <c r="Q29" s="30">
        <f t="shared" si="36"/>
        <v>1.6610169491525424</v>
      </c>
      <c r="R29" s="55">
        <f t="shared" si="36"/>
        <v>1.7033898305084745</v>
      </c>
      <c r="S29" s="55">
        <f t="shared" si="36"/>
        <v>1.6355932203389831</v>
      </c>
      <c r="T29" s="10">
        <f t="shared" si="37"/>
        <v>5</v>
      </c>
      <c r="U29" s="30">
        <f t="shared" si="38"/>
        <v>1.9952380952380953</v>
      </c>
      <c r="V29" s="55">
        <f t="shared" si="38"/>
        <v>1.9646464646464648</v>
      </c>
      <c r="W29" s="55">
        <f t="shared" si="38"/>
        <v>1.86</v>
      </c>
      <c r="X29" s="10">
        <f t="shared" si="41"/>
        <v>1.9407894736842106</v>
      </c>
      <c r="Y29" s="55">
        <f t="shared" si="39"/>
        <v>20.121477162293488</v>
      </c>
      <c r="Z29" s="55">
        <f t="shared" si="39"/>
        <v>15.337454143424306</v>
      </c>
      <c r="AA29" s="55">
        <f t="shared" si="39"/>
        <v>13.720207253886011</v>
      </c>
      <c r="AB29" s="10">
        <f t="shared" si="39"/>
        <v>-61.184210526315788</v>
      </c>
      <c r="AC29" s="63">
        <f t="shared" si="40"/>
        <v>0.33422114608555287</v>
      </c>
      <c r="AD29" s="63">
        <f t="shared" si="40"/>
        <v>0.26125663413799027</v>
      </c>
      <c r="AE29" s="63">
        <f t="shared" si="40"/>
        <v>0.22440677966101696</v>
      </c>
      <c r="AF29" s="55">
        <f t="shared" si="40"/>
        <v>-3.0592105263157894</v>
      </c>
      <c r="BA29">
        <f>BA27+BA28</f>
        <v>1.4</v>
      </c>
    </row>
    <row r="30" spans="1:53" x14ac:dyDescent="0.3">
      <c r="A30" s="21">
        <v>6</v>
      </c>
      <c r="B30" s="21">
        <v>6</v>
      </c>
      <c r="C30">
        <v>6</v>
      </c>
      <c r="D30">
        <v>6</v>
      </c>
      <c r="E30" s="57">
        <v>6</v>
      </c>
      <c r="F30">
        <v>6</v>
      </c>
      <c r="G30">
        <v>6</v>
      </c>
      <c r="H30" s="57">
        <v>6</v>
      </c>
      <c r="I30">
        <v>11</v>
      </c>
      <c r="J30">
        <v>12</v>
      </c>
      <c r="K30" s="57">
        <v>13</v>
      </c>
      <c r="L30">
        <v>11</v>
      </c>
      <c r="M30">
        <v>12</v>
      </c>
      <c r="N30" s="57">
        <v>13</v>
      </c>
      <c r="O30">
        <f t="shared" si="20"/>
        <v>6</v>
      </c>
      <c r="Q30" s="30">
        <f t="shared" si="36"/>
        <v>1.963855421686747</v>
      </c>
      <c r="R30" s="55">
        <f t="shared" si="36"/>
        <v>1.9698795180722892</v>
      </c>
      <c r="S30" s="55">
        <f t="shared" si="36"/>
        <v>2.0662650602409638</v>
      </c>
      <c r="T30" s="10">
        <f t="shared" si="37"/>
        <v>6</v>
      </c>
      <c r="U30" s="30">
        <f t="shared" si="38"/>
        <v>1.963855421686747</v>
      </c>
      <c r="V30" s="55">
        <f t="shared" si="38"/>
        <v>1.9698795180722892</v>
      </c>
      <c r="W30" s="55">
        <f t="shared" si="38"/>
        <v>2.0662650602409638</v>
      </c>
      <c r="X30" s="10">
        <f t="shared" si="41"/>
        <v>2</v>
      </c>
      <c r="Y30" s="55">
        <f t="shared" si="39"/>
        <v>0</v>
      </c>
      <c r="Z30" s="55">
        <f t="shared" si="39"/>
        <v>0</v>
      </c>
      <c r="AA30" s="55">
        <f t="shared" si="39"/>
        <v>0</v>
      </c>
      <c r="AB30" s="10">
        <f t="shared" si="39"/>
        <v>-66.666666666666657</v>
      </c>
      <c r="AC30" s="63">
        <f t="shared" si="40"/>
        <v>0</v>
      </c>
      <c r="AD30" s="63">
        <f t="shared" si="40"/>
        <v>0</v>
      </c>
      <c r="AE30" s="63">
        <f t="shared" si="40"/>
        <v>0</v>
      </c>
      <c r="AF30" s="55">
        <f t="shared" si="40"/>
        <v>-4</v>
      </c>
      <c r="BA30">
        <v>2</v>
      </c>
    </row>
    <row r="31" spans="1:53" x14ac:dyDescent="0.3">
      <c r="A31" s="21">
        <v>7</v>
      </c>
      <c r="B31" s="21">
        <v>4</v>
      </c>
      <c r="C31">
        <v>4</v>
      </c>
      <c r="D31">
        <v>4</v>
      </c>
      <c r="E31" s="57">
        <v>4</v>
      </c>
      <c r="F31">
        <v>4</v>
      </c>
      <c r="G31">
        <v>4</v>
      </c>
      <c r="H31" s="57">
        <v>4</v>
      </c>
      <c r="I31">
        <v>9</v>
      </c>
      <c r="J31">
        <v>8</v>
      </c>
      <c r="K31" s="57">
        <v>11</v>
      </c>
      <c r="L31">
        <v>9</v>
      </c>
      <c r="M31">
        <v>8</v>
      </c>
      <c r="N31" s="57">
        <v>11</v>
      </c>
      <c r="O31">
        <f t="shared" si="20"/>
        <v>7</v>
      </c>
      <c r="Q31" s="30">
        <f t="shared" si="36"/>
        <v>2.2481751824817517</v>
      </c>
      <c r="R31" s="55">
        <f t="shared" si="36"/>
        <v>2.2700729927007299</v>
      </c>
      <c r="S31" s="55">
        <f t="shared" si="36"/>
        <v>2.4817518248175183</v>
      </c>
      <c r="T31" s="10">
        <f t="shared" si="37"/>
        <v>7</v>
      </c>
      <c r="U31" s="30">
        <f t="shared" si="38"/>
        <v>2.2481751824817517</v>
      </c>
      <c r="V31" s="55">
        <f t="shared" si="38"/>
        <v>2.2700729927007299</v>
      </c>
      <c r="W31" s="55">
        <f t="shared" si="38"/>
        <v>2.4817518248175183</v>
      </c>
      <c r="X31" s="10">
        <f t="shared" si="41"/>
        <v>2.3333333333333335</v>
      </c>
      <c r="Y31" s="55">
        <f t="shared" si="39"/>
        <v>0</v>
      </c>
      <c r="Z31" s="55">
        <f t="shared" si="39"/>
        <v>0</v>
      </c>
      <c r="AA31" s="55">
        <f t="shared" si="39"/>
        <v>0</v>
      </c>
      <c r="AB31" s="10">
        <f t="shared" si="39"/>
        <v>-66.666666666666657</v>
      </c>
      <c r="AC31" s="63">
        <f t="shared" si="40"/>
        <v>0</v>
      </c>
      <c r="AD31" s="63">
        <f t="shared" si="40"/>
        <v>0</v>
      </c>
      <c r="AE31" s="63">
        <f t="shared" si="40"/>
        <v>0</v>
      </c>
      <c r="AF31" s="55">
        <f t="shared" si="40"/>
        <v>-4.6666666666666661</v>
      </c>
      <c r="BA31">
        <f>BA30-BA29</f>
        <v>0.60000000000000009</v>
      </c>
    </row>
    <row r="32" spans="1:53" x14ac:dyDescent="0.3">
      <c r="A32" s="21">
        <v>8</v>
      </c>
      <c r="B32" s="21">
        <v>0</v>
      </c>
      <c r="C32">
        <v>0</v>
      </c>
      <c r="D32">
        <v>0</v>
      </c>
      <c r="E32" s="57">
        <v>0</v>
      </c>
      <c r="F32">
        <v>0</v>
      </c>
      <c r="G32">
        <v>0</v>
      </c>
      <c r="H32" s="57">
        <v>0</v>
      </c>
      <c r="I32">
        <v>0</v>
      </c>
      <c r="J32">
        <v>0</v>
      </c>
      <c r="K32" s="57">
        <v>0</v>
      </c>
      <c r="L32">
        <v>0</v>
      </c>
      <c r="M32">
        <v>0</v>
      </c>
      <c r="N32" s="57">
        <v>0</v>
      </c>
      <c r="O32" t="e">
        <f t="shared" si="20"/>
        <v>#DIV/0!</v>
      </c>
      <c r="Q32" s="32">
        <f t="shared" si="36"/>
        <v>2.5662650602409638</v>
      </c>
      <c r="R32" s="23">
        <f t="shared" si="36"/>
        <v>2.7108433734939759</v>
      </c>
      <c r="S32" s="23">
        <f t="shared" si="36"/>
        <v>2.7228915662650603</v>
      </c>
      <c r="T32" s="31">
        <f t="shared" si="37"/>
        <v>8</v>
      </c>
      <c r="U32" s="32">
        <f t="shared" si="38"/>
        <v>2.5662650602409638</v>
      </c>
      <c r="V32" s="23">
        <f t="shared" si="38"/>
        <v>2.7108433734939759</v>
      </c>
      <c r="W32" s="23">
        <f t="shared" si="38"/>
        <v>2.7228915662650603</v>
      </c>
      <c r="X32" s="31">
        <f t="shared" si="41"/>
        <v>2.6666666666666665</v>
      </c>
      <c r="Y32" s="23">
        <f t="shared" si="39"/>
        <v>0</v>
      </c>
      <c r="Z32" s="23">
        <f t="shared" si="39"/>
        <v>0</v>
      </c>
      <c r="AA32" s="23">
        <f t="shared" si="39"/>
        <v>0</v>
      </c>
      <c r="AB32" s="31">
        <f t="shared" si="39"/>
        <v>-66.666666666666671</v>
      </c>
      <c r="AC32" s="11">
        <f t="shared" si="40"/>
        <v>0</v>
      </c>
      <c r="AD32" s="11">
        <f t="shared" si="40"/>
        <v>0</v>
      </c>
      <c r="AE32" s="11">
        <f t="shared" si="40"/>
        <v>0</v>
      </c>
      <c r="AF32" s="23">
        <f t="shared" si="40"/>
        <v>-5.3333333333333339</v>
      </c>
      <c r="BA32">
        <f>BA31/BA30</f>
        <v>0.30000000000000004</v>
      </c>
    </row>
    <row r="33" spans="1:32" x14ac:dyDescent="0.3">
      <c r="A33" s="21">
        <v>2</v>
      </c>
      <c r="B33" s="21">
        <v>4</v>
      </c>
      <c r="C33">
        <v>4</v>
      </c>
      <c r="D33">
        <v>0</v>
      </c>
      <c r="E33" s="57">
        <v>4</v>
      </c>
      <c r="F33">
        <v>0</v>
      </c>
      <c r="G33">
        <v>3</v>
      </c>
      <c r="H33" s="57">
        <v>1</v>
      </c>
      <c r="I33">
        <v>4</v>
      </c>
      <c r="J33">
        <v>0</v>
      </c>
      <c r="K33" s="57">
        <v>4</v>
      </c>
      <c r="L33">
        <v>0</v>
      </c>
      <c r="M33">
        <v>6</v>
      </c>
      <c r="N33" s="57">
        <v>2</v>
      </c>
    </row>
    <row r="34" spans="1:32" x14ac:dyDescent="0.3">
      <c r="A34">
        <v>3</v>
      </c>
      <c r="B34">
        <v>43</v>
      </c>
      <c r="C34">
        <v>33</v>
      </c>
      <c r="D34">
        <v>41</v>
      </c>
      <c r="E34">
        <v>38</v>
      </c>
      <c r="F34">
        <v>32</v>
      </c>
      <c r="G34">
        <v>30</v>
      </c>
      <c r="H34">
        <v>34</v>
      </c>
      <c r="I34">
        <v>38</v>
      </c>
      <c r="J34">
        <v>51</v>
      </c>
      <c r="K34">
        <v>40</v>
      </c>
      <c r="L34">
        <v>41</v>
      </c>
      <c r="M34">
        <v>41</v>
      </c>
      <c r="N34" s="57">
        <v>47</v>
      </c>
      <c r="Q34" t="s">
        <v>56</v>
      </c>
    </row>
    <row r="35" spans="1:32" x14ac:dyDescent="0.3">
      <c r="A35">
        <v>4</v>
      </c>
      <c r="B35">
        <v>9</v>
      </c>
      <c r="C35">
        <v>9</v>
      </c>
      <c r="D35">
        <v>9</v>
      </c>
      <c r="E35">
        <v>9</v>
      </c>
      <c r="F35">
        <v>6</v>
      </c>
      <c r="G35">
        <v>8</v>
      </c>
      <c r="H35">
        <v>8</v>
      </c>
      <c r="I35">
        <v>12</v>
      </c>
      <c r="J35">
        <v>13</v>
      </c>
      <c r="K35">
        <v>11</v>
      </c>
      <c r="L35">
        <v>11</v>
      </c>
      <c r="M35">
        <v>12</v>
      </c>
      <c r="N35" s="57">
        <v>13</v>
      </c>
      <c r="Q35" s="61">
        <v>1</v>
      </c>
      <c r="R35" s="61">
        <v>2</v>
      </c>
      <c r="S35" s="61">
        <v>3</v>
      </c>
      <c r="T35" s="62" t="s">
        <v>52</v>
      </c>
      <c r="U35" s="61">
        <v>1</v>
      </c>
      <c r="V35" s="61">
        <v>2</v>
      </c>
      <c r="W35" s="61">
        <v>3</v>
      </c>
      <c r="X35" s="62" t="s">
        <v>52</v>
      </c>
      <c r="Y35" s="61">
        <v>1</v>
      </c>
      <c r="Z35" s="61">
        <v>2</v>
      </c>
      <c r="AA35" s="61">
        <v>3</v>
      </c>
      <c r="AB35" s="62" t="s">
        <v>52</v>
      </c>
    </row>
    <row r="36" spans="1:32" x14ac:dyDescent="0.3">
      <c r="A36">
        <v>5</v>
      </c>
      <c r="B36">
        <v>7</v>
      </c>
      <c r="C36">
        <v>7</v>
      </c>
      <c r="D36">
        <v>7</v>
      </c>
      <c r="E36">
        <v>7</v>
      </c>
      <c r="F36">
        <v>7</v>
      </c>
      <c r="G36">
        <v>7</v>
      </c>
      <c r="H36">
        <v>5</v>
      </c>
      <c r="I36">
        <v>10</v>
      </c>
      <c r="J36">
        <v>13</v>
      </c>
      <c r="K36">
        <v>12</v>
      </c>
      <c r="L36">
        <v>11</v>
      </c>
      <c r="M36">
        <v>15</v>
      </c>
      <c r="N36" s="57">
        <v>9</v>
      </c>
      <c r="Q36" s="8">
        <f>Q3/100</f>
        <v>9.1254355400696863E-3</v>
      </c>
      <c r="R36" s="4">
        <f>R3/100</f>
        <v>9.2090592334494771E-3</v>
      </c>
      <c r="S36" s="4">
        <f>S3/100</f>
        <v>9.1707317073170744E-3</v>
      </c>
      <c r="T36" s="12">
        <f t="shared" ref="T36:T43" si="42">T3</f>
        <v>2.7505226480836238</v>
      </c>
      <c r="U36" s="4">
        <f>U3/100</f>
        <v>8.0557491289198601E-3</v>
      </c>
      <c r="V36" s="4">
        <f>V3/100</f>
        <v>8.1672473867595817E-3</v>
      </c>
      <c r="W36" s="4">
        <f>W3/100</f>
        <v>8.0940766550522646E-3</v>
      </c>
      <c r="X36" s="12">
        <f t="shared" ref="X36:X43" si="43">X3</f>
        <v>2.4317073170731707</v>
      </c>
      <c r="Y36" s="23">
        <f t="shared" ref="Y36:AB43" si="44">U36-Q36</f>
        <v>-1.0696864111498262E-3</v>
      </c>
      <c r="Z36" s="23">
        <f t="shared" si="44"/>
        <v>-1.0418118466898954E-3</v>
      </c>
      <c r="AA36" s="23">
        <f t="shared" si="44"/>
        <v>-1.0766550522648098E-3</v>
      </c>
      <c r="AB36" s="12">
        <f t="shared" si="44"/>
        <v>-0.31881533101045312</v>
      </c>
      <c r="AC36" s="55">
        <f t="shared" ref="AC36:AC43" si="45">Y36/AB36*100</f>
        <v>0.33551912568306008</v>
      </c>
      <c r="AD36" s="55">
        <f t="shared" ref="AD36:AD43" si="46">Z36/AB36*100</f>
        <v>0.32677595628415285</v>
      </c>
      <c r="AE36" s="55">
        <f t="shared" ref="AE36:AE43" si="47">AA36/AB36*100</f>
        <v>0.33770491803278718</v>
      </c>
    </row>
    <row r="37" spans="1:32" x14ac:dyDescent="0.3">
      <c r="A37">
        <v>6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9</v>
      </c>
      <c r="J37">
        <v>6</v>
      </c>
      <c r="K37">
        <v>9</v>
      </c>
      <c r="L37">
        <v>9</v>
      </c>
      <c r="M37">
        <v>6</v>
      </c>
      <c r="N37" s="57">
        <v>9</v>
      </c>
      <c r="P37" s="57">
        <v>2</v>
      </c>
      <c r="Q37" s="55">
        <f t="shared" ref="Q37:S43" si="48">Q4</f>
        <v>0.69339622641509435</v>
      </c>
      <c r="R37" s="55">
        <f t="shared" si="48"/>
        <v>0.660377358490566</v>
      </c>
      <c r="S37" s="55">
        <f t="shared" si="48"/>
        <v>0.64622641509433965</v>
      </c>
      <c r="T37" s="25">
        <f t="shared" si="42"/>
        <v>2</v>
      </c>
      <c r="U37" s="55">
        <f t="shared" ref="U37:W43" si="49">U4</f>
        <v>0.46698113207547171</v>
      </c>
      <c r="V37" s="55">
        <f t="shared" si="49"/>
        <v>0.44811320754716982</v>
      </c>
      <c r="W37" s="55">
        <f t="shared" si="49"/>
        <v>0.53301886792452835</v>
      </c>
      <c r="X37" s="25">
        <f t="shared" si="43"/>
        <v>1.4481132075471699</v>
      </c>
      <c r="Y37" s="55">
        <f t="shared" si="44"/>
        <v>-0.22641509433962265</v>
      </c>
      <c r="Z37" s="55">
        <f t="shared" si="44"/>
        <v>-0.21226415094339618</v>
      </c>
      <c r="AA37" s="55">
        <f t="shared" si="44"/>
        <v>-0.1132075471698113</v>
      </c>
      <c r="AB37" s="25">
        <f t="shared" si="44"/>
        <v>-0.55188679245283012</v>
      </c>
      <c r="AC37" s="55">
        <f t="shared" si="45"/>
        <v>41.025641025641029</v>
      </c>
      <c r="AD37" s="55">
        <f t="shared" si="46"/>
        <v>38.46153846153846</v>
      </c>
      <c r="AE37" s="55">
        <f t="shared" si="47"/>
        <v>20.512820512820511</v>
      </c>
    </row>
    <row r="38" spans="1:32" x14ac:dyDescent="0.3">
      <c r="A38">
        <v>7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5</v>
      </c>
      <c r="J38">
        <v>4</v>
      </c>
      <c r="K38">
        <v>5</v>
      </c>
      <c r="L38">
        <v>5</v>
      </c>
      <c r="M38">
        <v>4</v>
      </c>
      <c r="N38" s="57">
        <v>5</v>
      </c>
      <c r="P38" s="57">
        <v>3</v>
      </c>
      <c r="Q38" s="55">
        <f t="shared" si="48"/>
        <v>0.88658536585365855</v>
      </c>
      <c r="R38" s="55">
        <f t="shared" si="48"/>
        <v>0.90548780487804881</v>
      </c>
      <c r="S38" s="55">
        <f t="shared" si="48"/>
        <v>0.900609756097561</v>
      </c>
      <c r="T38" s="25">
        <f t="shared" si="42"/>
        <v>2.6926829268292685</v>
      </c>
      <c r="U38" s="55">
        <f t="shared" si="49"/>
        <v>0.78109756097560978</v>
      </c>
      <c r="V38" s="55">
        <f t="shared" si="49"/>
        <v>0.8036585365853659</v>
      </c>
      <c r="W38" s="55">
        <f t="shared" si="49"/>
        <v>0.77865853658536588</v>
      </c>
      <c r="X38" s="25">
        <f t="shared" si="43"/>
        <v>2.3634146341463413</v>
      </c>
      <c r="Y38" s="55">
        <f t="shared" si="44"/>
        <v>-0.10548780487804876</v>
      </c>
      <c r="Z38" s="55">
        <f t="shared" si="44"/>
        <v>-0.10182926829268291</v>
      </c>
      <c r="AA38" s="55">
        <f t="shared" si="44"/>
        <v>-0.12195121951219512</v>
      </c>
      <c r="AB38" s="25">
        <f t="shared" si="44"/>
        <v>-0.32926829268292712</v>
      </c>
      <c r="AC38" s="55">
        <f t="shared" si="45"/>
        <v>32.037037037037003</v>
      </c>
      <c r="AD38" s="55">
        <f t="shared" si="46"/>
        <v>30.925925925925888</v>
      </c>
      <c r="AE38" s="55">
        <f t="shared" si="47"/>
        <v>37.037037037037003</v>
      </c>
    </row>
    <row r="39" spans="1:32" x14ac:dyDescent="0.3">
      <c r="A39">
        <v>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2</v>
      </c>
      <c r="J39">
        <v>3</v>
      </c>
      <c r="K39">
        <v>3</v>
      </c>
      <c r="L39">
        <v>2</v>
      </c>
      <c r="M39">
        <v>3</v>
      </c>
      <c r="N39" s="57">
        <v>3</v>
      </c>
      <c r="P39" s="57">
        <v>4</v>
      </c>
      <c r="Q39" s="55">
        <f t="shared" si="48"/>
        <v>1</v>
      </c>
      <c r="R39" s="55">
        <f t="shared" si="48"/>
        <v>1</v>
      </c>
      <c r="S39" s="55">
        <f t="shared" si="48"/>
        <v>1</v>
      </c>
      <c r="T39" s="25">
        <f t="shared" si="42"/>
        <v>3</v>
      </c>
      <c r="U39" s="55">
        <f t="shared" si="49"/>
        <v>0.84848484848484851</v>
      </c>
      <c r="V39" s="55">
        <f t="shared" si="49"/>
        <v>0.8762626262626263</v>
      </c>
      <c r="W39" s="55">
        <f t="shared" si="49"/>
        <v>0.8762626262626263</v>
      </c>
      <c r="X39" s="25">
        <f t="shared" si="43"/>
        <v>2.6010101010101012</v>
      </c>
      <c r="Y39" s="55">
        <f t="shared" si="44"/>
        <v>-0.15151515151515149</v>
      </c>
      <c r="Z39" s="55">
        <f t="shared" si="44"/>
        <v>-0.1237373737373737</v>
      </c>
      <c r="AA39" s="55">
        <f t="shared" si="44"/>
        <v>-0.1237373737373737</v>
      </c>
      <c r="AB39" s="25">
        <f t="shared" si="44"/>
        <v>-0.39898989898989878</v>
      </c>
      <c r="AC39" s="55">
        <f t="shared" si="45"/>
        <v>37.974683544303808</v>
      </c>
      <c r="AD39" s="55">
        <f t="shared" si="46"/>
        <v>31.012658227848107</v>
      </c>
      <c r="AE39" s="55">
        <f t="shared" si="47"/>
        <v>31.012658227848107</v>
      </c>
    </row>
    <row r="40" spans="1:32" x14ac:dyDescent="0.3">
      <c r="A40">
        <v>2</v>
      </c>
      <c r="B40">
        <v>7</v>
      </c>
      <c r="C40">
        <v>2</v>
      </c>
      <c r="D40">
        <v>5</v>
      </c>
      <c r="E40">
        <v>7</v>
      </c>
      <c r="F40">
        <v>2</v>
      </c>
      <c r="G40">
        <v>5</v>
      </c>
      <c r="H40">
        <v>5</v>
      </c>
      <c r="I40">
        <v>2</v>
      </c>
      <c r="J40">
        <v>5</v>
      </c>
      <c r="K40">
        <v>7</v>
      </c>
      <c r="L40">
        <v>3</v>
      </c>
      <c r="M40">
        <v>6</v>
      </c>
      <c r="N40" s="57">
        <v>5</v>
      </c>
      <c r="P40" s="57">
        <v>5</v>
      </c>
      <c r="Q40" s="55">
        <f t="shared" si="48"/>
        <v>1</v>
      </c>
      <c r="R40" s="55">
        <f t="shared" si="48"/>
        <v>1</v>
      </c>
      <c r="S40" s="55">
        <f t="shared" si="48"/>
        <v>1</v>
      </c>
      <c r="T40" s="25">
        <f t="shared" si="42"/>
        <v>3</v>
      </c>
      <c r="U40" s="55">
        <f t="shared" si="49"/>
        <v>0.88983050847457623</v>
      </c>
      <c r="V40" s="55">
        <f t="shared" si="49"/>
        <v>0.83898305084745761</v>
      </c>
      <c r="W40" s="55">
        <f t="shared" si="49"/>
        <v>0.84745762711864403</v>
      </c>
      <c r="X40" s="25">
        <f t="shared" si="43"/>
        <v>2.5762711864406778</v>
      </c>
      <c r="Y40" s="55">
        <f t="shared" si="44"/>
        <v>-0.11016949152542377</v>
      </c>
      <c r="Z40" s="55">
        <f t="shared" si="44"/>
        <v>-0.16101694915254239</v>
      </c>
      <c r="AA40" s="55">
        <f t="shared" si="44"/>
        <v>-0.15254237288135597</v>
      </c>
      <c r="AB40" s="25">
        <f t="shared" si="44"/>
        <v>-0.42372881355932224</v>
      </c>
      <c r="AC40" s="55">
        <f t="shared" si="45"/>
        <v>25.999999999999996</v>
      </c>
      <c r="AD40" s="55">
        <f t="shared" si="46"/>
        <v>37.999999999999986</v>
      </c>
      <c r="AE40" s="55">
        <f t="shared" si="47"/>
        <v>35.999999999999993</v>
      </c>
      <c r="AF40" t="s">
        <v>57</v>
      </c>
    </row>
    <row r="41" spans="1:32" x14ac:dyDescent="0.3">
      <c r="A41">
        <v>3</v>
      </c>
      <c r="B41">
        <v>40</v>
      </c>
      <c r="C41">
        <v>37</v>
      </c>
      <c r="D41">
        <v>34</v>
      </c>
      <c r="E41">
        <v>36</v>
      </c>
      <c r="F41">
        <v>32</v>
      </c>
      <c r="G41">
        <v>27</v>
      </c>
      <c r="H41">
        <v>33</v>
      </c>
      <c r="I41">
        <v>41</v>
      </c>
      <c r="J41">
        <v>37</v>
      </c>
      <c r="K41">
        <v>42</v>
      </c>
      <c r="L41">
        <v>39</v>
      </c>
      <c r="M41">
        <v>35</v>
      </c>
      <c r="N41" s="57">
        <v>46</v>
      </c>
      <c r="P41" s="57">
        <v>6</v>
      </c>
      <c r="Q41" s="55">
        <f t="shared" si="48"/>
        <v>1</v>
      </c>
      <c r="R41" s="55">
        <f t="shared" si="48"/>
        <v>1</v>
      </c>
      <c r="S41" s="55">
        <f t="shared" si="48"/>
        <v>1</v>
      </c>
      <c r="T41" s="25">
        <f t="shared" si="42"/>
        <v>3</v>
      </c>
      <c r="U41" s="55">
        <f t="shared" si="49"/>
        <v>1</v>
      </c>
      <c r="V41" s="55">
        <f t="shared" si="49"/>
        <v>1</v>
      </c>
      <c r="W41" s="55">
        <f t="shared" si="49"/>
        <v>1</v>
      </c>
      <c r="X41" s="25">
        <f t="shared" si="43"/>
        <v>3</v>
      </c>
      <c r="Y41" s="55">
        <f t="shared" si="44"/>
        <v>0</v>
      </c>
      <c r="Z41" s="55">
        <f t="shared" si="44"/>
        <v>0</v>
      </c>
      <c r="AA41" s="55">
        <f t="shared" si="44"/>
        <v>0</v>
      </c>
      <c r="AB41" s="25">
        <f t="shared" si="44"/>
        <v>0</v>
      </c>
      <c r="AC41" s="55" t="e">
        <f t="shared" si="45"/>
        <v>#DIV/0!</v>
      </c>
      <c r="AD41" s="55" t="e">
        <f t="shared" si="46"/>
        <v>#DIV/0!</v>
      </c>
      <c r="AE41" s="55" t="e">
        <f t="shared" si="47"/>
        <v>#DIV/0!</v>
      </c>
    </row>
    <row r="42" spans="1:32" x14ac:dyDescent="0.3">
      <c r="A42">
        <v>4</v>
      </c>
      <c r="B42">
        <v>8</v>
      </c>
      <c r="C42">
        <v>8</v>
      </c>
      <c r="D42">
        <v>8</v>
      </c>
      <c r="E42">
        <v>8</v>
      </c>
      <c r="F42">
        <v>8</v>
      </c>
      <c r="G42">
        <v>8</v>
      </c>
      <c r="H42">
        <v>5</v>
      </c>
      <c r="I42">
        <v>15</v>
      </c>
      <c r="J42">
        <v>9</v>
      </c>
      <c r="K42">
        <v>8</v>
      </c>
      <c r="L42">
        <v>16</v>
      </c>
      <c r="M42">
        <v>11</v>
      </c>
      <c r="N42" s="57">
        <v>5</v>
      </c>
      <c r="P42" s="57">
        <v>7</v>
      </c>
      <c r="Q42" s="55">
        <f t="shared" si="48"/>
        <v>1</v>
      </c>
      <c r="R42" s="55">
        <f t="shared" si="48"/>
        <v>1</v>
      </c>
      <c r="S42" s="55">
        <f t="shared" si="48"/>
        <v>1</v>
      </c>
      <c r="T42" s="25">
        <f t="shared" si="42"/>
        <v>3</v>
      </c>
      <c r="U42" s="55">
        <f t="shared" si="49"/>
        <v>1</v>
      </c>
      <c r="V42" s="55">
        <f t="shared" si="49"/>
        <v>1</v>
      </c>
      <c r="W42" s="55">
        <f t="shared" si="49"/>
        <v>1</v>
      </c>
      <c r="X42" s="25">
        <f t="shared" si="43"/>
        <v>3</v>
      </c>
      <c r="Y42" s="55">
        <f t="shared" si="44"/>
        <v>0</v>
      </c>
      <c r="Z42" s="55">
        <f t="shared" si="44"/>
        <v>0</v>
      </c>
      <c r="AA42" s="55">
        <f t="shared" si="44"/>
        <v>0</v>
      </c>
      <c r="AB42" s="25">
        <f t="shared" si="44"/>
        <v>0</v>
      </c>
      <c r="AC42" s="55" t="e">
        <f t="shared" si="45"/>
        <v>#DIV/0!</v>
      </c>
      <c r="AD42" s="55" t="e">
        <f t="shared" si="46"/>
        <v>#DIV/0!</v>
      </c>
      <c r="AE42" s="55" t="e">
        <f t="shared" si="47"/>
        <v>#DIV/0!</v>
      </c>
    </row>
    <row r="43" spans="1:32" x14ac:dyDescent="0.3">
      <c r="A43">
        <v>5</v>
      </c>
      <c r="B43">
        <v>4</v>
      </c>
      <c r="C43">
        <v>4</v>
      </c>
      <c r="D43">
        <v>4</v>
      </c>
      <c r="E43">
        <v>4</v>
      </c>
      <c r="F43">
        <v>3</v>
      </c>
      <c r="G43">
        <v>4</v>
      </c>
      <c r="H43">
        <v>3</v>
      </c>
      <c r="I43">
        <v>6</v>
      </c>
      <c r="J43">
        <v>8</v>
      </c>
      <c r="K43">
        <v>6</v>
      </c>
      <c r="L43">
        <v>5</v>
      </c>
      <c r="M43">
        <v>9</v>
      </c>
      <c r="N43" s="57">
        <v>6</v>
      </c>
      <c r="P43" s="57">
        <v>8</v>
      </c>
      <c r="Q43" s="55">
        <f t="shared" si="48"/>
        <v>1</v>
      </c>
      <c r="R43" s="55">
        <f t="shared" si="48"/>
        <v>1</v>
      </c>
      <c r="S43" s="55">
        <f t="shared" si="48"/>
        <v>1</v>
      </c>
      <c r="T43" s="25">
        <f t="shared" si="42"/>
        <v>3</v>
      </c>
      <c r="U43" s="55">
        <f t="shared" si="49"/>
        <v>1</v>
      </c>
      <c r="V43" s="55">
        <f t="shared" si="49"/>
        <v>1</v>
      </c>
      <c r="W43" s="55">
        <f t="shared" si="49"/>
        <v>1</v>
      </c>
      <c r="X43" s="25">
        <f t="shared" si="43"/>
        <v>3</v>
      </c>
      <c r="Y43" s="55">
        <f t="shared" si="44"/>
        <v>0</v>
      </c>
      <c r="Z43" s="55">
        <f t="shared" si="44"/>
        <v>0</v>
      </c>
      <c r="AA43" s="55">
        <f t="shared" si="44"/>
        <v>0</v>
      </c>
      <c r="AB43" s="25">
        <f t="shared" si="44"/>
        <v>0</v>
      </c>
      <c r="AC43" s="55" t="e">
        <f t="shared" si="45"/>
        <v>#DIV/0!</v>
      </c>
      <c r="AD43" s="55" t="e">
        <f t="shared" si="46"/>
        <v>#DIV/0!</v>
      </c>
      <c r="AE43" s="55" t="e">
        <f t="shared" si="47"/>
        <v>#DIV/0!</v>
      </c>
    </row>
    <row r="44" spans="1:32" x14ac:dyDescent="0.3">
      <c r="A44">
        <v>6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3</v>
      </c>
      <c r="J44">
        <v>5</v>
      </c>
      <c r="K44">
        <v>4</v>
      </c>
      <c r="L44">
        <v>3</v>
      </c>
      <c r="M44">
        <v>5</v>
      </c>
      <c r="N44" s="57">
        <v>4</v>
      </c>
    </row>
    <row r="45" spans="1:32" x14ac:dyDescent="0.3">
      <c r="A45">
        <v>7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15</v>
      </c>
      <c r="J45">
        <v>17</v>
      </c>
      <c r="K45">
        <v>17</v>
      </c>
      <c r="L45">
        <v>15</v>
      </c>
      <c r="M45">
        <v>17</v>
      </c>
      <c r="N45" s="57">
        <v>17</v>
      </c>
    </row>
    <row r="46" spans="1:32" x14ac:dyDescent="0.3">
      <c r="A46">
        <v>8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5</v>
      </c>
      <c r="J46">
        <v>5</v>
      </c>
      <c r="K46">
        <v>6</v>
      </c>
      <c r="L46">
        <v>5</v>
      </c>
      <c r="M46">
        <v>5</v>
      </c>
      <c r="N46" s="57">
        <v>6</v>
      </c>
    </row>
    <row r="47" spans="1:32" x14ac:dyDescent="0.3">
      <c r="A47">
        <v>2</v>
      </c>
      <c r="B47">
        <v>6</v>
      </c>
      <c r="C47">
        <v>6</v>
      </c>
      <c r="D47">
        <v>4</v>
      </c>
      <c r="E47">
        <v>2</v>
      </c>
      <c r="F47">
        <v>4</v>
      </c>
      <c r="G47">
        <v>3</v>
      </c>
      <c r="H47">
        <v>2</v>
      </c>
      <c r="I47">
        <v>6</v>
      </c>
      <c r="J47">
        <v>4</v>
      </c>
      <c r="K47">
        <v>2</v>
      </c>
      <c r="L47">
        <v>5</v>
      </c>
      <c r="M47">
        <v>4</v>
      </c>
      <c r="N47" s="57">
        <v>3</v>
      </c>
    </row>
    <row r="48" spans="1:32" x14ac:dyDescent="0.3">
      <c r="A48">
        <v>3</v>
      </c>
      <c r="B48">
        <v>41</v>
      </c>
      <c r="C48">
        <v>38</v>
      </c>
      <c r="D48">
        <v>38</v>
      </c>
      <c r="E48">
        <v>35</v>
      </c>
      <c r="F48">
        <v>32</v>
      </c>
      <c r="G48">
        <v>33</v>
      </c>
      <c r="H48">
        <v>28</v>
      </c>
      <c r="I48">
        <v>44</v>
      </c>
      <c r="J48">
        <v>41</v>
      </c>
      <c r="K48">
        <v>38</v>
      </c>
      <c r="L48">
        <v>45</v>
      </c>
      <c r="M48">
        <v>42</v>
      </c>
      <c r="N48" s="57">
        <v>36</v>
      </c>
    </row>
    <row r="49" spans="1:14" x14ac:dyDescent="0.3">
      <c r="A49">
        <v>4</v>
      </c>
      <c r="B49">
        <v>10</v>
      </c>
      <c r="C49">
        <v>10</v>
      </c>
      <c r="D49">
        <v>10</v>
      </c>
      <c r="E49">
        <v>10</v>
      </c>
      <c r="F49">
        <v>6</v>
      </c>
      <c r="G49">
        <v>10</v>
      </c>
      <c r="H49">
        <v>10</v>
      </c>
      <c r="I49">
        <v>15</v>
      </c>
      <c r="J49">
        <v>12</v>
      </c>
      <c r="K49">
        <v>13</v>
      </c>
      <c r="L49">
        <v>9</v>
      </c>
      <c r="M49">
        <v>15</v>
      </c>
      <c r="N49" s="57">
        <v>16</v>
      </c>
    </row>
    <row r="50" spans="1:14" x14ac:dyDescent="0.3">
      <c r="A50">
        <v>5</v>
      </c>
      <c r="B50">
        <v>6</v>
      </c>
      <c r="C50">
        <v>6</v>
      </c>
      <c r="D50">
        <v>6</v>
      </c>
      <c r="E50">
        <v>6</v>
      </c>
      <c r="F50">
        <v>4</v>
      </c>
      <c r="G50">
        <v>5</v>
      </c>
      <c r="H50">
        <v>3</v>
      </c>
      <c r="I50">
        <v>10</v>
      </c>
      <c r="J50">
        <v>10</v>
      </c>
      <c r="K50">
        <v>10</v>
      </c>
      <c r="L50">
        <v>9</v>
      </c>
      <c r="M50">
        <v>13</v>
      </c>
      <c r="N50" s="57">
        <v>8</v>
      </c>
    </row>
    <row r="51" spans="1:14" x14ac:dyDescent="0.3">
      <c r="A51">
        <v>6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4</v>
      </c>
      <c r="J51">
        <v>6</v>
      </c>
      <c r="K51">
        <v>8</v>
      </c>
      <c r="L51">
        <v>4</v>
      </c>
      <c r="M51">
        <v>6</v>
      </c>
      <c r="N51" s="57">
        <v>8</v>
      </c>
    </row>
    <row r="52" spans="1:14" x14ac:dyDescent="0.3">
      <c r="A52">
        <v>7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6</v>
      </c>
      <c r="J52">
        <v>8</v>
      </c>
      <c r="K52">
        <v>7</v>
      </c>
      <c r="L52">
        <v>6</v>
      </c>
      <c r="M52">
        <v>8</v>
      </c>
      <c r="N52" s="57">
        <v>7</v>
      </c>
    </row>
    <row r="53" spans="1:14" x14ac:dyDescent="0.3">
      <c r="A53">
        <v>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2</v>
      </c>
      <c r="J53">
        <v>3</v>
      </c>
      <c r="K53">
        <v>3</v>
      </c>
      <c r="L53">
        <v>2</v>
      </c>
      <c r="M53">
        <v>3</v>
      </c>
      <c r="N53" s="57">
        <v>3</v>
      </c>
    </row>
    <row r="54" spans="1:14" x14ac:dyDescent="0.3">
      <c r="A54">
        <v>2</v>
      </c>
      <c r="B54">
        <v>1</v>
      </c>
      <c r="C54">
        <v>0</v>
      </c>
      <c r="D54">
        <v>1</v>
      </c>
      <c r="E54">
        <v>1</v>
      </c>
      <c r="F54">
        <v>0</v>
      </c>
      <c r="G54">
        <v>1</v>
      </c>
      <c r="H54">
        <v>1</v>
      </c>
      <c r="I54">
        <v>0</v>
      </c>
      <c r="J54">
        <v>1</v>
      </c>
      <c r="K54">
        <v>1</v>
      </c>
      <c r="L54">
        <v>0</v>
      </c>
      <c r="M54">
        <v>1</v>
      </c>
      <c r="N54" s="57">
        <v>1</v>
      </c>
    </row>
    <row r="55" spans="1:14" x14ac:dyDescent="0.3">
      <c r="A55">
        <v>3</v>
      </c>
      <c r="B55">
        <v>45</v>
      </c>
      <c r="C55">
        <v>39</v>
      </c>
      <c r="D55">
        <v>42</v>
      </c>
      <c r="E55">
        <v>42</v>
      </c>
      <c r="F55">
        <v>38</v>
      </c>
      <c r="G55">
        <v>37</v>
      </c>
      <c r="H55">
        <v>39</v>
      </c>
      <c r="I55">
        <v>42</v>
      </c>
      <c r="J55">
        <v>48</v>
      </c>
      <c r="K55">
        <v>45</v>
      </c>
      <c r="L55">
        <v>44</v>
      </c>
      <c r="M55">
        <v>44</v>
      </c>
      <c r="N55" s="57">
        <v>47</v>
      </c>
    </row>
    <row r="56" spans="1:14" x14ac:dyDescent="0.3">
      <c r="A56">
        <v>4</v>
      </c>
      <c r="B56">
        <v>8</v>
      </c>
      <c r="C56">
        <v>8</v>
      </c>
      <c r="D56">
        <v>8</v>
      </c>
      <c r="E56">
        <v>8</v>
      </c>
      <c r="F56">
        <v>5</v>
      </c>
      <c r="G56">
        <v>6</v>
      </c>
      <c r="H56">
        <v>8</v>
      </c>
      <c r="I56">
        <v>13</v>
      </c>
      <c r="J56">
        <v>9</v>
      </c>
      <c r="K56">
        <v>10</v>
      </c>
      <c r="L56">
        <v>9</v>
      </c>
      <c r="M56">
        <v>9</v>
      </c>
      <c r="N56" s="57">
        <v>14</v>
      </c>
    </row>
    <row r="57" spans="1:14" x14ac:dyDescent="0.3">
      <c r="A57">
        <v>5</v>
      </c>
      <c r="B57">
        <v>5</v>
      </c>
      <c r="C57">
        <v>5</v>
      </c>
      <c r="D57">
        <v>5</v>
      </c>
      <c r="E57">
        <v>5</v>
      </c>
      <c r="F57">
        <v>4</v>
      </c>
      <c r="G57">
        <v>5</v>
      </c>
      <c r="H57">
        <v>4</v>
      </c>
      <c r="I57">
        <v>9</v>
      </c>
      <c r="J57">
        <v>9</v>
      </c>
      <c r="K57">
        <v>7</v>
      </c>
      <c r="L57">
        <v>7</v>
      </c>
      <c r="M57">
        <v>11</v>
      </c>
      <c r="N57" s="57">
        <v>7</v>
      </c>
    </row>
    <row r="58" spans="1:14" x14ac:dyDescent="0.3">
      <c r="A58">
        <v>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3</v>
      </c>
      <c r="J58">
        <v>4</v>
      </c>
      <c r="K58">
        <v>5</v>
      </c>
      <c r="L58">
        <v>3</v>
      </c>
      <c r="M58">
        <v>4</v>
      </c>
      <c r="N58" s="57">
        <v>5</v>
      </c>
    </row>
    <row r="59" spans="1:14" x14ac:dyDescent="0.3">
      <c r="A59">
        <v>7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10</v>
      </c>
      <c r="J59">
        <v>12</v>
      </c>
      <c r="K59">
        <v>13</v>
      </c>
      <c r="L59">
        <v>10</v>
      </c>
      <c r="M59">
        <v>12</v>
      </c>
      <c r="N59" s="57">
        <v>13</v>
      </c>
    </row>
    <row r="60" spans="1:14" x14ac:dyDescent="0.3">
      <c r="A60">
        <v>8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  <c r="H60">
        <v>4</v>
      </c>
      <c r="I60">
        <v>9</v>
      </c>
      <c r="J60">
        <v>12</v>
      </c>
      <c r="K60">
        <v>11</v>
      </c>
      <c r="L60">
        <v>9</v>
      </c>
      <c r="M60">
        <v>12</v>
      </c>
      <c r="N60" s="57">
        <v>11</v>
      </c>
    </row>
    <row r="61" spans="1:14" x14ac:dyDescent="0.3">
      <c r="A61">
        <v>2</v>
      </c>
      <c r="B61">
        <v>6</v>
      </c>
      <c r="C61">
        <v>5</v>
      </c>
      <c r="D61">
        <v>3</v>
      </c>
      <c r="E61">
        <v>4</v>
      </c>
      <c r="F61">
        <v>3</v>
      </c>
      <c r="G61">
        <v>3</v>
      </c>
      <c r="H61">
        <v>3</v>
      </c>
      <c r="I61">
        <v>5</v>
      </c>
      <c r="J61">
        <v>3</v>
      </c>
      <c r="K61">
        <v>4</v>
      </c>
      <c r="L61">
        <v>4</v>
      </c>
      <c r="M61">
        <v>4</v>
      </c>
      <c r="N61" s="57">
        <v>4</v>
      </c>
    </row>
    <row r="62" spans="1:14" x14ac:dyDescent="0.3">
      <c r="A62">
        <v>3</v>
      </c>
      <c r="B62">
        <v>45</v>
      </c>
      <c r="C62">
        <v>40</v>
      </c>
      <c r="D62">
        <v>43</v>
      </c>
      <c r="E62">
        <v>41</v>
      </c>
      <c r="F62">
        <v>32</v>
      </c>
      <c r="G62">
        <v>39</v>
      </c>
      <c r="H62">
        <v>38</v>
      </c>
      <c r="I62">
        <v>44</v>
      </c>
      <c r="J62">
        <v>48</v>
      </c>
      <c r="K62">
        <v>43</v>
      </c>
      <c r="L62">
        <v>39</v>
      </c>
      <c r="M62">
        <v>52</v>
      </c>
      <c r="N62" s="57">
        <v>44</v>
      </c>
    </row>
    <row r="63" spans="1:14" x14ac:dyDescent="0.3">
      <c r="A63">
        <v>4</v>
      </c>
      <c r="B63">
        <v>10</v>
      </c>
      <c r="C63">
        <v>10</v>
      </c>
      <c r="D63">
        <v>10</v>
      </c>
      <c r="E63">
        <v>10</v>
      </c>
      <c r="F63">
        <v>8</v>
      </c>
      <c r="G63">
        <v>9</v>
      </c>
      <c r="H63">
        <v>10</v>
      </c>
      <c r="I63">
        <v>15</v>
      </c>
      <c r="J63">
        <v>13</v>
      </c>
      <c r="K63">
        <v>12</v>
      </c>
      <c r="L63">
        <v>13</v>
      </c>
      <c r="M63">
        <v>14</v>
      </c>
      <c r="N63" s="57">
        <v>13</v>
      </c>
    </row>
    <row r="64" spans="1:14" x14ac:dyDescent="0.3">
      <c r="A64">
        <v>5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4</v>
      </c>
      <c r="J64">
        <v>2</v>
      </c>
      <c r="K64">
        <v>4</v>
      </c>
      <c r="L64">
        <v>4</v>
      </c>
      <c r="M64">
        <v>2</v>
      </c>
      <c r="N64" s="57">
        <v>4</v>
      </c>
    </row>
    <row r="65" spans="1:14" x14ac:dyDescent="0.3">
      <c r="A65">
        <v>6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4</v>
      </c>
      <c r="K65">
        <v>6</v>
      </c>
      <c r="L65">
        <v>2</v>
      </c>
      <c r="M65">
        <v>4</v>
      </c>
      <c r="N65" s="57">
        <v>6</v>
      </c>
    </row>
    <row r="66" spans="1:14" x14ac:dyDescent="0.3">
      <c r="A66">
        <v>7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7</v>
      </c>
      <c r="J66">
        <v>7</v>
      </c>
      <c r="K66">
        <v>7</v>
      </c>
      <c r="L66">
        <v>7</v>
      </c>
      <c r="M66">
        <v>7</v>
      </c>
      <c r="N66" s="57">
        <v>7</v>
      </c>
    </row>
    <row r="67" spans="1:14" x14ac:dyDescent="0.3">
      <c r="A67">
        <v>8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6</v>
      </c>
      <c r="J67">
        <v>5</v>
      </c>
      <c r="K67">
        <v>5</v>
      </c>
      <c r="L67">
        <v>6</v>
      </c>
      <c r="M67">
        <v>5</v>
      </c>
      <c r="N67" s="57">
        <v>5</v>
      </c>
    </row>
    <row r="68" spans="1:14" x14ac:dyDescent="0.3">
      <c r="A68">
        <v>2</v>
      </c>
      <c r="B68">
        <v>6</v>
      </c>
      <c r="C68">
        <v>5</v>
      </c>
      <c r="D68">
        <v>3</v>
      </c>
      <c r="E68">
        <v>4</v>
      </c>
      <c r="F68">
        <v>1</v>
      </c>
      <c r="G68">
        <v>3</v>
      </c>
      <c r="H68">
        <v>3</v>
      </c>
      <c r="I68">
        <v>5</v>
      </c>
      <c r="J68">
        <v>3</v>
      </c>
      <c r="K68">
        <v>4</v>
      </c>
      <c r="L68">
        <v>1</v>
      </c>
      <c r="M68">
        <v>6</v>
      </c>
      <c r="N68" s="57">
        <v>5</v>
      </c>
    </row>
    <row r="69" spans="1:14" x14ac:dyDescent="0.3">
      <c r="A69">
        <v>3</v>
      </c>
      <c r="B69">
        <v>38</v>
      </c>
      <c r="C69">
        <v>31</v>
      </c>
      <c r="D69">
        <v>34</v>
      </c>
      <c r="E69">
        <v>35</v>
      </c>
      <c r="F69">
        <v>31</v>
      </c>
      <c r="G69">
        <v>27</v>
      </c>
      <c r="H69">
        <v>32</v>
      </c>
      <c r="I69">
        <v>34</v>
      </c>
      <c r="J69">
        <v>41</v>
      </c>
      <c r="K69">
        <v>39</v>
      </c>
      <c r="L69">
        <v>37</v>
      </c>
      <c r="M69">
        <v>34</v>
      </c>
      <c r="N69" s="57">
        <v>43</v>
      </c>
    </row>
    <row r="70" spans="1:14" x14ac:dyDescent="0.3">
      <c r="A70">
        <v>4</v>
      </c>
      <c r="B70">
        <v>7</v>
      </c>
      <c r="C70">
        <v>7</v>
      </c>
      <c r="D70">
        <v>7</v>
      </c>
      <c r="E70">
        <v>7</v>
      </c>
      <c r="F70">
        <v>6</v>
      </c>
      <c r="G70">
        <v>7</v>
      </c>
      <c r="H70">
        <v>7</v>
      </c>
      <c r="I70">
        <v>9</v>
      </c>
      <c r="J70">
        <v>7</v>
      </c>
      <c r="K70">
        <v>12</v>
      </c>
      <c r="L70">
        <v>8</v>
      </c>
      <c r="M70">
        <v>8</v>
      </c>
      <c r="N70" s="57">
        <v>12</v>
      </c>
    </row>
    <row r="71" spans="1:14" x14ac:dyDescent="0.3">
      <c r="A71">
        <v>5</v>
      </c>
      <c r="B71">
        <v>9</v>
      </c>
      <c r="C71">
        <v>9</v>
      </c>
      <c r="D71">
        <v>9</v>
      </c>
      <c r="E71">
        <v>9</v>
      </c>
      <c r="F71">
        <v>9</v>
      </c>
      <c r="G71">
        <v>7</v>
      </c>
      <c r="H71">
        <v>8</v>
      </c>
      <c r="I71">
        <v>16</v>
      </c>
      <c r="J71">
        <v>14</v>
      </c>
      <c r="K71">
        <v>15</v>
      </c>
      <c r="L71">
        <v>18</v>
      </c>
      <c r="M71">
        <v>14</v>
      </c>
      <c r="N71" s="57">
        <v>13</v>
      </c>
    </row>
    <row r="72" spans="1:14" x14ac:dyDescent="0.3">
      <c r="A72">
        <v>6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5</v>
      </c>
      <c r="J72">
        <v>5</v>
      </c>
      <c r="K72">
        <v>8</v>
      </c>
      <c r="L72">
        <v>5</v>
      </c>
      <c r="M72">
        <v>5</v>
      </c>
      <c r="N72" s="57">
        <v>8</v>
      </c>
    </row>
    <row r="73" spans="1:14" x14ac:dyDescent="0.3">
      <c r="A73">
        <v>7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8</v>
      </c>
      <c r="J73">
        <v>10</v>
      </c>
      <c r="K73">
        <v>10</v>
      </c>
      <c r="L73">
        <v>8</v>
      </c>
      <c r="M73">
        <v>10</v>
      </c>
      <c r="N73" s="57">
        <v>10</v>
      </c>
    </row>
    <row r="74" spans="1:14" x14ac:dyDescent="0.3">
      <c r="A74">
        <v>8</v>
      </c>
      <c r="B74">
        <v>3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8</v>
      </c>
      <c r="J74">
        <v>9</v>
      </c>
      <c r="K74">
        <v>7</v>
      </c>
      <c r="L74">
        <v>8</v>
      </c>
      <c r="M74">
        <v>9</v>
      </c>
      <c r="N74" s="57">
        <v>7</v>
      </c>
    </row>
    <row r="75" spans="1:14" x14ac:dyDescent="0.3">
      <c r="A75">
        <v>2</v>
      </c>
      <c r="B75">
        <v>6</v>
      </c>
      <c r="C75">
        <v>4</v>
      </c>
      <c r="D75">
        <v>5</v>
      </c>
      <c r="E75">
        <v>3</v>
      </c>
      <c r="F75">
        <v>3</v>
      </c>
      <c r="G75">
        <v>3</v>
      </c>
      <c r="H75">
        <v>2</v>
      </c>
      <c r="I75">
        <v>4</v>
      </c>
      <c r="J75">
        <v>5</v>
      </c>
      <c r="K75">
        <v>3</v>
      </c>
      <c r="L75">
        <v>4</v>
      </c>
      <c r="M75">
        <v>4</v>
      </c>
      <c r="N75" s="57">
        <v>4</v>
      </c>
    </row>
    <row r="76" spans="1:14" x14ac:dyDescent="0.3">
      <c r="A76">
        <v>3</v>
      </c>
      <c r="B76">
        <v>41</v>
      </c>
      <c r="C76">
        <v>37</v>
      </c>
      <c r="D76">
        <v>41</v>
      </c>
      <c r="E76">
        <v>38</v>
      </c>
      <c r="F76">
        <v>30</v>
      </c>
      <c r="G76">
        <v>32</v>
      </c>
      <c r="H76">
        <v>36</v>
      </c>
      <c r="I76">
        <v>40</v>
      </c>
      <c r="J76">
        <v>45</v>
      </c>
      <c r="K76">
        <v>38</v>
      </c>
      <c r="L76">
        <v>35</v>
      </c>
      <c r="M76">
        <v>43</v>
      </c>
      <c r="N76" s="57">
        <v>45</v>
      </c>
    </row>
    <row r="77" spans="1:14" x14ac:dyDescent="0.3">
      <c r="A77">
        <v>4</v>
      </c>
      <c r="B77">
        <v>6</v>
      </c>
      <c r="C77">
        <v>6</v>
      </c>
      <c r="D77">
        <v>6</v>
      </c>
      <c r="E77">
        <v>6</v>
      </c>
      <c r="F77">
        <v>6</v>
      </c>
      <c r="G77">
        <v>5</v>
      </c>
      <c r="H77">
        <v>5</v>
      </c>
      <c r="I77">
        <v>8</v>
      </c>
      <c r="J77">
        <v>6</v>
      </c>
      <c r="K77">
        <v>10</v>
      </c>
      <c r="L77">
        <v>9</v>
      </c>
      <c r="M77">
        <v>6</v>
      </c>
      <c r="N77" s="57">
        <v>9</v>
      </c>
    </row>
    <row r="78" spans="1:14" x14ac:dyDescent="0.3">
      <c r="A78">
        <v>5</v>
      </c>
      <c r="B78">
        <v>6</v>
      </c>
      <c r="C78">
        <v>6</v>
      </c>
      <c r="D78">
        <v>6</v>
      </c>
      <c r="E78">
        <v>6</v>
      </c>
      <c r="F78">
        <v>5</v>
      </c>
      <c r="G78">
        <v>4</v>
      </c>
      <c r="H78">
        <v>5</v>
      </c>
      <c r="I78">
        <v>9</v>
      </c>
      <c r="J78">
        <v>10</v>
      </c>
      <c r="K78">
        <v>11</v>
      </c>
      <c r="L78">
        <v>11</v>
      </c>
      <c r="M78">
        <v>9</v>
      </c>
      <c r="N78" s="57">
        <v>10</v>
      </c>
    </row>
    <row r="79" spans="1:14" x14ac:dyDescent="0.3">
      <c r="A79">
        <v>6</v>
      </c>
      <c r="B79">
        <v>4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7</v>
      </c>
      <c r="J79">
        <v>8</v>
      </c>
      <c r="K79">
        <v>9</v>
      </c>
      <c r="L79">
        <v>7</v>
      </c>
      <c r="M79">
        <v>8</v>
      </c>
      <c r="N79" s="57">
        <v>9</v>
      </c>
    </row>
    <row r="80" spans="1:14" x14ac:dyDescent="0.3">
      <c r="A80">
        <v>7</v>
      </c>
      <c r="B80">
        <v>4</v>
      </c>
      <c r="C80">
        <v>4</v>
      </c>
      <c r="D80">
        <v>4</v>
      </c>
      <c r="E80">
        <v>4</v>
      </c>
      <c r="F80">
        <v>4</v>
      </c>
      <c r="G80">
        <v>4</v>
      </c>
      <c r="H80">
        <v>4</v>
      </c>
      <c r="I80">
        <v>10</v>
      </c>
      <c r="J80">
        <v>9</v>
      </c>
      <c r="K80">
        <v>9</v>
      </c>
      <c r="L80">
        <v>10</v>
      </c>
      <c r="M80">
        <v>9</v>
      </c>
      <c r="N80" s="57">
        <v>9</v>
      </c>
    </row>
    <row r="81" spans="1:14" x14ac:dyDescent="0.3">
      <c r="A81">
        <v>8</v>
      </c>
      <c r="B81">
        <v>3</v>
      </c>
      <c r="C81">
        <v>3</v>
      </c>
      <c r="D81">
        <v>3</v>
      </c>
      <c r="E81">
        <v>3</v>
      </c>
      <c r="F81">
        <v>3</v>
      </c>
      <c r="G81">
        <v>3</v>
      </c>
      <c r="H81">
        <v>3</v>
      </c>
      <c r="I81">
        <v>6</v>
      </c>
      <c r="J81">
        <v>9</v>
      </c>
      <c r="K81">
        <v>9</v>
      </c>
      <c r="L81">
        <v>6</v>
      </c>
      <c r="M81">
        <v>9</v>
      </c>
      <c r="N81" s="57">
        <v>9</v>
      </c>
    </row>
    <row r="82" spans="1:14" x14ac:dyDescent="0.3">
      <c r="A82">
        <v>2</v>
      </c>
      <c r="B82">
        <v>6</v>
      </c>
      <c r="C82">
        <v>5</v>
      </c>
      <c r="D82">
        <v>2</v>
      </c>
      <c r="E82">
        <v>5</v>
      </c>
      <c r="F82">
        <v>3</v>
      </c>
      <c r="G82">
        <v>3</v>
      </c>
      <c r="H82">
        <v>4</v>
      </c>
      <c r="I82">
        <v>5</v>
      </c>
      <c r="J82">
        <v>2</v>
      </c>
      <c r="K82">
        <v>5</v>
      </c>
      <c r="L82">
        <v>3</v>
      </c>
      <c r="M82">
        <v>4</v>
      </c>
      <c r="N82" s="57">
        <v>5</v>
      </c>
    </row>
    <row r="83" spans="1:14" x14ac:dyDescent="0.3">
      <c r="A83">
        <v>3</v>
      </c>
      <c r="B83">
        <v>40</v>
      </c>
      <c r="C83">
        <v>33</v>
      </c>
      <c r="D83">
        <v>39</v>
      </c>
      <c r="E83">
        <v>37</v>
      </c>
      <c r="F83">
        <v>33</v>
      </c>
      <c r="G83">
        <v>33</v>
      </c>
      <c r="H83">
        <v>29</v>
      </c>
      <c r="I83">
        <v>36</v>
      </c>
      <c r="J83">
        <v>46</v>
      </c>
      <c r="K83">
        <v>38</v>
      </c>
      <c r="L83">
        <v>44</v>
      </c>
      <c r="M83">
        <v>40</v>
      </c>
      <c r="N83" s="57">
        <v>36</v>
      </c>
    </row>
    <row r="84" spans="1:14" x14ac:dyDescent="0.3">
      <c r="A84">
        <v>4</v>
      </c>
      <c r="B84">
        <v>12</v>
      </c>
      <c r="C84">
        <v>12</v>
      </c>
      <c r="D84">
        <v>12</v>
      </c>
      <c r="E84">
        <v>12</v>
      </c>
      <c r="F84">
        <v>8</v>
      </c>
      <c r="G84">
        <v>11</v>
      </c>
      <c r="H84">
        <v>11</v>
      </c>
      <c r="I84">
        <v>17</v>
      </c>
      <c r="J84">
        <v>15</v>
      </c>
      <c r="K84">
        <v>16</v>
      </c>
      <c r="L84">
        <v>12</v>
      </c>
      <c r="M84">
        <v>17</v>
      </c>
      <c r="N84" s="57">
        <v>19</v>
      </c>
    </row>
    <row r="85" spans="1:14" x14ac:dyDescent="0.3">
      <c r="A85">
        <v>5</v>
      </c>
      <c r="B85">
        <v>7</v>
      </c>
      <c r="C85">
        <v>7</v>
      </c>
      <c r="D85">
        <v>7</v>
      </c>
      <c r="E85">
        <v>7</v>
      </c>
      <c r="F85">
        <v>4</v>
      </c>
      <c r="G85">
        <v>7</v>
      </c>
      <c r="H85">
        <v>7</v>
      </c>
      <c r="I85">
        <v>12</v>
      </c>
      <c r="J85">
        <v>14</v>
      </c>
      <c r="K85">
        <v>9</v>
      </c>
      <c r="L85">
        <v>7</v>
      </c>
      <c r="M85">
        <v>14</v>
      </c>
      <c r="N85" s="57">
        <v>14</v>
      </c>
    </row>
    <row r="86" spans="1:14" x14ac:dyDescent="0.3">
      <c r="A86">
        <v>6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2</v>
      </c>
      <c r="J86">
        <v>2</v>
      </c>
      <c r="K86">
        <v>2</v>
      </c>
      <c r="L86">
        <v>2</v>
      </c>
      <c r="M86">
        <v>2</v>
      </c>
      <c r="N86" s="57">
        <v>2</v>
      </c>
    </row>
    <row r="87" spans="1:14" x14ac:dyDescent="0.3">
      <c r="A87">
        <v>7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2</v>
      </c>
      <c r="J87">
        <v>2</v>
      </c>
      <c r="K87">
        <v>3</v>
      </c>
      <c r="L87">
        <v>2</v>
      </c>
      <c r="M87">
        <v>2</v>
      </c>
      <c r="N87" s="57">
        <v>3</v>
      </c>
    </row>
    <row r="88" spans="1:14" x14ac:dyDescent="0.3">
      <c r="A88" s="4">
        <v>8</v>
      </c>
      <c r="B88" s="4">
        <v>3</v>
      </c>
      <c r="C88" s="4">
        <v>3</v>
      </c>
      <c r="D88" s="4">
        <v>3</v>
      </c>
      <c r="E88" s="4">
        <v>3</v>
      </c>
      <c r="F88" s="4">
        <v>3</v>
      </c>
      <c r="G88" s="4">
        <v>3</v>
      </c>
      <c r="H88" s="4">
        <v>3</v>
      </c>
      <c r="I88" s="4">
        <v>7</v>
      </c>
      <c r="J88" s="4">
        <v>9</v>
      </c>
      <c r="K88" s="4">
        <v>8</v>
      </c>
      <c r="L88" s="4">
        <v>7</v>
      </c>
      <c r="M88" s="4">
        <v>9</v>
      </c>
      <c r="N88" s="7">
        <v>8</v>
      </c>
    </row>
    <row r="89" spans="1:14" x14ac:dyDescent="0.3">
      <c r="A89">
        <v>2</v>
      </c>
      <c r="B89">
        <v>8</v>
      </c>
      <c r="C89">
        <v>2</v>
      </c>
      <c r="D89">
        <v>7</v>
      </c>
      <c r="E89">
        <v>7</v>
      </c>
      <c r="F89">
        <v>2</v>
      </c>
      <c r="G89">
        <v>4</v>
      </c>
      <c r="H89">
        <v>5</v>
      </c>
      <c r="I89">
        <v>2</v>
      </c>
      <c r="J89">
        <v>7</v>
      </c>
      <c r="K89">
        <v>7</v>
      </c>
      <c r="L89">
        <v>3</v>
      </c>
      <c r="M89">
        <v>5</v>
      </c>
      <c r="N89" s="57">
        <v>8</v>
      </c>
    </row>
    <row r="90" spans="1:14" x14ac:dyDescent="0.3">
      <c r="A90">
        <v>3</v>
      </c>
      <c r="B90">
        <v>42</v>
      </c>
      <c r="C90">
        <v>37</v>
      </c>
      <c r="D90">
        <v>37</v>
      </c>
      <c r="E90">
        <v>38</v>
      </c>
      <c r="F90">
        <v>32</v>
      </c>
      <c r="G90">
        <v>32</v>
      </c>
      <c r="H90">
        <v>37</v>
      </c>
      <c r="I90">
        <v>41</v>
      </c>
      <c r="J90">
        <v>42</v>
      </c>
      <c r="K90">
        <v>43</v>
      </c>
      <c r="L90">
        <v>37</v>
      </c>
      <c r="M90">
        <v>42</v>
      </c>
      <c r="N90" s="57">
        <v>47</v>
      </c>
    </row>
    <row r="91" spans="1:14" x14ac:dyDescent="0.3">
      <c r="A91">
        <v>4</v>
      </c>
      <c r="B91">
        <v>5</v>
      </c>
      <c r="C91">
        <v>5</v>
      </c>
      <c r="D91">
        <v>5</v>
      </c>
      <c r="E91">
        <v>5</v>
      </c>
      <c r="F91">
        <v>4</v>
      </c>
      <c r="G91">
        <v>5</v>
      </c>
      <c r="H91">
        <v>5</v>
      </c>
      <c r="I91">
        <v>6</v>
      </c>
      <c r="J91">
        <v>6</v>
      </c>
      <c r="K91">
        <v>8</v>
      </c>
      <c r="L91">
        <v>5</v>
      </c>
      <c r="M91">
        <v>7</v>
      </c>
      <c r="N91" s="57">
        <v>8</v>
      </c>
    </row>
    <row r="92" spans="1:14" x14ac:dyDescent="0.3">
      <c r="A92">
        <v>5</v>
      </c>
      <c r="B92">
        <v>5</v>
      </c>
      <c r="C92">
        <v>5</v>
      </c>
      <c r="D92">
        <v>5</v>
      </c>
      <c r="E92">
        <v>5</v>
      </c>
      <c r="F92">
        <v>5</v>
      </c>
      <c r="G92">
        <v>4</v>
      </c>
      <c r="H92">
        <v>3</v>
      </c>
      <c r="I92">
        <v>10</v>
      </c>
      <c r="J92">
        <v>7</v>
      </c>
      <c r="K92">
        <v>8</v>
      </c>
      <c r="L92">
        <v>11</v>
      </c>
      <c r="M92">
        <v>8</v>
      </c>
      <c r="N92" s="57">
        <v>6</v>
      </c>
    </row>
    <row r="93" spans="1:14" x14ac:dyDescent="0.3">
      <c r="A93">
        <v>6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9</v>
      </c>
      <c r="J93">
        <v>9</v>
      </c>
      <c r="K93">
        <v>12</v>
      </c>
      <c r="L93">
        <v>9</v>
      </c>
      <c r="M93">
        <v>9</v>
      </c>
      <c r="N93" s="57">
        <v>12</v>
      </c>
    </row>
    <row r="94" spans="1:14" x14ac:dyDescent="0.3">
      <c r="A94">
        <v>7</v>
      </c>
      <c r="B94">
        <v>4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8</v>
      </c>
      <c r="J94">
        <v>11</v>
      </c>
      <c r="K94">
        <v>9</v>
      </c>
      <c r="L94">
        <v>8</v>
      </c>
      <c r="M94">
        <v>11</v>
      </c>
      <c r="N94" s="57">
        <v>9</v>
      </c>
    </row>
    <row r="95" spans="1:14" x14ac:dyDescent="0.3">
      <c r="A95">
        <v>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2</v>
      </c>
      <c r="J95">
        <v>3</v>
      </c>
      <c r="K95">
        <v>3</v>
      </c>
      <c r="L95">
        <v>2</v>
      </c>
      <c r="M95">
        <v>3</v>
      </c>
      <c r="N95" s="57">
        <v>3</v>
      </c>
    </row>
    <row r="96" spans="1:14" x14ac:dyDescent="0.3">
      <c r="A96">
        <v>2</v>
      </c>
      <c r="B96">
        <v>8</v>
      </c>
      <c r="C96">
        <v>5</v>
      </c>
      <c r="D96">
        <v>6</v>
      </c>
      <c r="E96">
        <v>5</v>
      </c>
      <c r="F96">
        <v>3</v>
      </c>
      <c r="G96">
        <v>5</v>
      </c>
      <c r="H96">
        <v>4</v>
      </c>
      <c r="I96">
        <v>5</v>
      </c>
      <c r="J96">
        <v>6</v>
      </c>
      <c r="K96">
        <v>5</v>
      </c>
      <c r="L96">
        <v>4</v>
      </c>
      <c r="M96">
        <v>6</v>
      </c>
      <c r="N96" s="57">
        <v>6</v>
      </c>
    </row>
    <row r="97" spans="1:14" x14ac:dyDescent="0.3">
      <c r="A97">
        <v>3</v>
      </c>
      <c r="B97">
        <v>37</v>
      </c>
      <c r="C97">
        <v>31</v>
      </c>
      <c r="D97">
        <v>33</v>
      </c>
      <c r="E97">
        <v>35</v>
      </c>
      <c r="F97">
        <v>27</v>
      </c>
      <c r="G97">
        <v>30</v>
      </c>
      <c r="H97">
        <v>28</v>
      </c>
      <c r="I97">
        <v>33</v>
      </c>
      <c r="J97">
        <v>39</v>
      </c>
      <c r="K97">
        <v>39</v>
      </c>
      <c r="L97">
        <v>36</v>
      </c>
      <c r="M97">
        <v>40</v>
      </c>
      <c r="N97" s="57">
        <v>35</v>
      </c>
    </row>
    <row r="98" spans="1:14" x14ac:dyDescent="0.3">
      <c r="A98">
        <v>4</v>
      </c>
      <c r="B98">
        <v>5</v>
      </c>
      <c r="C98">
        <v>5</v>
      </c>
      <c r="D98">
        <v>5</v>
      </c>
      <c r="E98">
        <v>5</v>
      </c>
      <c r="F98">
        <v>5</v>
      </c>
      <c r="G98">
        <v>4</v>
      </c>
      <c r="H98">
        <v>4</v>
      </c>
      <c r="I98">
        <v>7</v>
      </c>
      <c r="J98">
        <v>7</v>
      </c>
      <c r="K98">
        <v>6</v>
      </c>
      <c r="L98">
        <v>8</v>
      </c>
      <c r="M98">
        <v>6</v>
      </c>
      <c r="N98" s="57">
        <v>6</v>
      </c>
    </row>
    <row r="99" spans="1:14" x14ac:dyDescent="0.3">
      <c r="A99">
        <v>5</v>
      </c>
      <c r="B99">
        <v>7</v>
      </c>
      <c r="C99">
        <v>7</v>
      </c>
      <c r="D99">
        <v>7</v>
      </c>
      <c r="E99">
        <v>7</v>
      </c>
      <c r="F99">
        <v>6</v>
      </c>
      <c r="G99">
        <v>5</v>
      </c>
      <c r="H99">
        <v>7</v>
      </c>
      <c r="I99">
        <v>13</v>
      </c>
      <c r="J99">
        <v>10</v>
      </c>
      <c r="K99">
        <v>12</v>
      </c>
      <c r="L99">
        <v>14</v>
      </c>
      <c r="M99">
        <v>7</v>
      </c>
      <c r="N99" s="57">
        <v>14</v>
      </c>
    </row>
    <row r="100" spans="1:14" x14ac:dyDescent="0.3">
      <c r="A100">
        <v>6</v>
      </c>
      <c r="B100">
        <v>7</v>
      </c>
      <c r="C100">
        <v>7</v>
      </c>
      <c r="D100">
        <v>7</v>
      </c>
      <c r="E100">
        <v>7</v>
      </c>
      <c r="F100">
        <v>7</v>
      </c>
      <c r="G100">
        <v>7</v>
      </c>
      <c r="H100">
        <v>7</v>
      </c>
      <c r="I100">
        <v>14</v>
      </c>
      <c r="J100">
        <v>16</v>
      </c>
      <c r="K100">
        <v>12</v>
      </c>
      <c r="L100">
        <v>14</v>
      </c>
      <c r="M100">
        <v>16</v>
      </c>
      <c r="N100" s="57">
        <v>12</v>
      </c>
    </row>
    <row r="101" spans="1:14" x14ac:dyDescent="0.3">
      <c r="A101">
        <v>7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4</v>
      </c>
      <c r="J101">
        <v>4</v>
      </c>
      <c r="K101">
        <v>6</v>
      </c>
      <c r="L101">
        <v>4</v>
      </c>
      <c r="M101">
        <v>4</v>
      </c>
      <c r="N101" s="57">
        <v>6</v>
      </c>
    </row>
    <row r="102" spans="1:14" x14ac:dyDescent="0.3">
      <c r="A102">
        <v>8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10</v>
      </c>
      <c r="J102">
        <v>11</v>
      </c>
      <c r="K102">
        <v>11</v>
      </c>
      <c r="L102">
        <v>10</v>
      </c>
      <c r="M102">
        <v>11</v>
      </c>
      <c r="N102" s="57">
        <v>11</v>
      </c>
    </row>
    <row r="103" spans="1:14" x14ac:dyDescent="0.3">
      <c r="A103">
        <v>2</v>
      </c>
      <c r="B103">
        <v>5</v>
      </c>
      <c r="C103">
        <v>5</v>
      </c>
      <c r="D103">
        <v>2</v>
      </c>
      <c r="E103">
        <v>3</v>
      </c>
      <c r="F103">
        <v>4</v>
      </c>
      <c r="G103">
        <v>2</v>
      </c>
      <c r="H103">
        <v>3</v>
      </c>
      <c r="I103">
        <v>5</v>
      </c>
      <c r="J103">
        <v>2</v>
      </c>
      <c r="K103">
        <v>3</v>
      </c>
      <c r="L103">
        <v>4</v>
      </c>
      <c r="M103">
        <v>2</v>
      </c>
      <c r="N103" s="57">
        <v>4</v>
      </c>
    </row>
    <row r="104" spans="1:14" x14ac:dyDescent="0.3">
      <c r="A104">
        <v>3</v>
      </c>
      <c r="B104">
        <v>35</v>
      </c>
      <c r="C104">
        <v>30</v>
      </c>
      <c r="D104">
        <v>31</v>
      </c>
      <c r="E104">
        <v>30</v>
      </c>
      <c r="F104">
        <v>29</v>
      </c>
      <c r="G104">
        <v>29</v>
      </c>
      <c r="H104">
        <v>21</v>
      </c>
      <c r="I104">
        <v>35</v>
      </c>
      <c r="J104">
        <v>36</v>
      </c>
      <c r="K104">
        <v>34</v>
      </c>
      <c r="L104">
        <v>43</v>
      </c>
      <c r="M104">
        <v>35</v>
      </c>
      <c r="N104" s="57">
        <v>27</v>
      </c>
    </row>
    <row r="105" spans="1:14" x14ac:dyDescent="0.3">
      <c r="A105">
        <v>4</v>
      </c>
      <c r="B105">
        <v>11</v>
      </c>
      <c r="C105">
        <v>11</v>
      </c>
      <c r="D105">
        <v>11</v>
      </c>
      <c r="E105">
        <v>11</v>
      </c>
      <c r="F105">
        <v>10</v>
      </c>
      <c r="G105">
        <v>9</v>
      </c>
      <c r="H105">
        <v>9</v>
      </c>
      <c r="I105">
        <v>16</v>
      </c>
      <c r="J105">
        <v>14</v>
      </c>
      <c r="K105">
        <v>14</v>
      </c>
      <c r="L105">
        <v>16</v>
      </c>
      <c r="M105">
        <v>14</v>
      </c>
      <c r="N105" s="57">
        <v>14</v>
      </c>
    </row>
    <row r="106" spans="1:14" x14ac:dyDescent="0.3">
      <c r="A106">
        <v>5</v>
      </c>
      <c r="B106">
        <v>8</v>
      </c>
      <c r="C106">
        <v>8</v>
      </c>
      <c r="D106">
        <v>8</v>
      </c>
      <c r="E106">
        <v>8</v>
      </c>
      <c r="F106">
        <v>7</v>
      </c>
      <c r="G106">
        <v>7</v>
      </c>
      <c r="H106">
        <v>8</v>
      </c>
      <c r="I106">
        <v>13</v>
      </c>
      <c r="J106">
        <v>14</v>
      </c>
      <c r="K106">
        <v>13</v>
      </c>
      <c r="L106">
        <v>13</v>
      </c>
      <c r="M106">
        <v>13</v>
      </c>
      <c r="N106" s="57">
        <v>14</v>
      </c>
    </row>
    <row r="107" spans="1:14" x14ac:dyDescent="0.3">
      <c r="A107">
        <v>6</v>
      </c>
      <c r="B107">
        <v>7</v>
      </c>
      <c r="C107">
        <v>7</v>
      </c>
      <c r="D107">
        <v>7</v>
      </c>
      <c r="E107">
        <v>7</v>
      </c>
      <c r="F107">
        <v>7</v>
      </c>
      <c r="G107">
        <v>7</v>
      </c>
      <c r="H107">
        <v>7</v>
      </c>
      <c r="I107">
        <v>14</v>
      </c>
      <c r="J107">
        <v>14</v>
      </c>
      <c r="K107">
        <v>14</v>
      </c>
      <c r="L107">
        <v>14</v>
      </c>
      <c r="M107">
        <v>14</v>
      </c>
      <c r="N107" s="57">
        <v>14</v>
      </c>
    </row>
    <row r="108" spans="1:14" x14ac:dyDescent="0.3">
      <c r="A108">
        <v>7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7</v>
      </c>
      <c r="J108">
        <v>6</v>
      </c>
      <c r="K108">
        <v>8</v>
      </c>
      <c r="L108">
        <v>7</v>
      </c>
      <c r="M108">
        <v>6</v>
      </c>
      <c r="N108" s="57">
        <v>8</v>
      </c>
    </row>
    <row r="109" spans="1:14" x14ac:dyDescent="0.3">
      <c r="A109">
        <v>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2</v>
      </c>
      <c r="J109">
        <v>3</v>
      </c>
      <c r="K109">
        <v>3</v>
      </c>
      <c r="L109">
        <v>2</v>
      </c>
      <c r="M109">
        <v>3</v>
      </c>
      <c r="N109" s="57">
        <v>3</v>
      </c>
    </row>
    <row r="110" spans="1:14" x14ac:dyDescent="0.3">
      <c r="A110">
        <v>2</v>
      </c>
      <c r="B110">
        <v>9</v>
      </c>
      <c r="C110">
        <v>8</v>
      </c>
      <c r="D110">
        <v>5</v>
      </c>
      <c r="E110">
        <v>5</v>
      </c>
      <c r="F110">
        <v>5</v>
      </c>
      <c r="G110">
        <v>3</v>
      </c>
      <c r="H110">
        <v>5</v>
      </c>
      <c r="I110">
        <v>8</v>
      </c>
      <c r="J110">
        <v>5</v>
      </c>
      <c r="K110">
        <v>5</v>
      </c>
      <c r="L110">
        <v>7</v>
      </c>
      <c r="M110">
        <v>3</v>
      </c>
      <c r="N110" s="57">
        <v>8</v>
      </c>
    </row>
    <row r="111" spans="1:14" x14ac:dyDescent="0.3">
      <c r="A111">
        <v>3</v>
      </c>
      <c r="B111">
        <v>38</v>
      </c>
      <c r="C111">
        <v>34</v>
      </c>
      <c r="D111">
        <v>33</v>
      </c>
      <c r="E111">
        <v>35</v>
      </c>
      <c r="F111">
        <v>27</v>
      </c>
      <c r="G111">
        <v>31</v>
      </c>
      <c r="H111">
        <v>31</v>
      </c>
      <c r="I111">
        <v>37</v>
      </c>
      <c r="J111">
        <v>37</v>
      </c>
      <c r="K111">
        <v>40</v>
      </c>
      <c r="L111">
        <v>34</v>
      </c>
      <c r="M111">
        <v>42</v>
      </c>
      <c r="N111" s="57">
        <v>38</v>
      </c>
    </row>
    <row r="112" spans="1:14" x14ac:dyDescent="0.3">
      <c r="A112">
        <v>4</v>
      </c>
      <c r="B112">
        <v>8</v>
      </c>
      <c r="C112">
        <v>8</v>
      </c>
      <c r="D112">
        <v>8</v>
      </c>
      <c r="E112">
        <v>8</v>
      </c>
      <c r="F112">
        <v>7</v>
      </c>
      <c r="G112">
        <v>8</v>
      </c>
      <c r="H112">
        <v>7</v>
      </c>
      <c r="I112">
        <v>11</v>
      </c>
      <c r="J112">
        <v>9</v>
      </c>
      <c r="K112">
        <v>12</v>
      </c>
      <c r="L112">
        <v>10</v>
      </c>
      <c r="M112">
        <v>11</v>
      </c>
      <c r="N112" s="57">
        <v>11</v>
      </c>
    </row>
    <row r="113" spans="1:14" x14ac:dyDescent="0.3">
      <c r="A113">
        <v>5</v>
      </c>
      <c r="B113">
        <v>6</v>
      </c>
      <c r="C113">
        <v>6</v>
      </c>
      <c r="D113">
        <v>6</v>
      </c>
      <c r="E113">
        <v>6</v>
      </c>
      <c r="F113">
        <v>6</v>
      </c>
      <c r="G113">
        <v>4</v>
      </c>
      <c r="H113">
        <v>6</v>
      </c>
      <c r="I113">
        <v>9</v>
      </c>
      <c r="J113">
        <v>9</v>
      </c>
      <c r="K113">
        <v>12</v>
      </c>
      <c r="L113">
        <v>13</v>
      </c>
      <c r="M113">
        <v>5</v>
      </c>
      <c r="N113" s="57">
        <v>12</v>
      </c>
    </row>
    <row r="114" spans="1:14" x14ac:dyDescent="0.3">
      <c r="A114">
        <v>6</v>
      </c>
      <c r="B114">
        <v>7</v>
      </c>
      <c r="C114">
        <v>7</v>
      </c>
      <c r="D114">
        <v>7</v>
      </c>
      <c r="E114">
        <v>7</v>
      </c>
      <c r="F114">
        <v>7</v>
      </c>
      <c r="G114">
        <v>7</v>
      </c>
      <c r="H114">
        <v>7</v>
      </c>
      <c r="I114">
        <v>15</v>
      </c>
      <c r="J114">
        <v>14</v>
      </c>
      <c r="K114">
        <v>13</v>
      </c>
      <c r="L114">
        <v>15</v>
      </c>
      <c r="M114">
        <v>14</v>
      </c>
      <c r="N114" s="57">
        <v>13</v>
      </c>
    </row>
    <row r="115" spans="1:14" x14ac:dyDescent="0.3">
      <c r="A115">
        <v>7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4</v>
      </c>
      <c r="J115">
        <v>6</v>
      </c>
      <c r="K115">
        <v>4</v>
      </c>
      <c r="L115">
        <v>4</v>
      </c>
      <c r="M115">
        <v>6</v>
      </c>
      <c r="N115" s="57">
        <v>4</v>
      </c>
    </row>
    <row r="116" spans="1:14" x14ac:dyDescent="0.3">
      <c r="A116">
        <v>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s="57">
        <v>0</v>
      </c>
    </row>
    <row r="117" spans="1:14" x14ac:dyDescent="0.3">
      <c r="A117">
        <v>2</v>
      </c>
      <c r="B117">
        <v>5</v>
      </c>
      <c r="C117">
        <v>4</v>
      </c>
      <c r="D117">
        <v>2</v>
      </c>
      <c r="E117">
        <v>4</v>
      </c>
      <c r="F117">
        <v>3</v>
      </c>
      <c r="G117">
        <v>2</v>
      </c>
      <c r="H117">
        <v>4</v>
      </c>
      <c r="I117">
        <v>4</v>
      </c>
      <c r="J117">
        <v>2</v>
      </c>
      <c r="K117">
        <v>4</v>
      </c>
      <c r="L117">
        <v>3</v>
      </c>
      <c r="M117">
        <v>2</v>
      </c>
      <c r="N117" s="57">
        <v>5</v>
      </c>
    </row>
    <row r="118" spans="1:14" x14ac:dyDescent="0.3">
      <c r="A118">
        <v>3</v>
      </c>
      <c r="B118">
        <v>38</v>
      </c>
      <c r="C118">
        <v>33</v>
      </c>
      <c r="D118">
        <v>34</v>
      </c>
      <c r="E118">
        <v>38</v>
      </c>
      <c r="F118">
        <v>29</v>
      </c>
      <c r="G118">
        <v>31</v>
      </c>
      <c r="H118">
        <v>34</v>
      </c>
      <c r="I118">
        <v>33</v>
      </c>
      <c r="J118">
        <v>39</v>
      </c>
      <c r="K118">
        <v>42</v>
      </c>
      <c r="L118">
        <v>33</v>
      </c>
      <c r="M118">
        <v>40</v>
      </c>
      <c r="N118" s="57">
        <v>41</v>
      </c>
    </row>
    <row r="119" spans="1:14" x14ac:dyDescent="0.3">
      <c r="A119">
        <v>4</v>
      </c>
      <c r="B119">
        <v>12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9</v>
      </c>
      <c r="I119">
        <v>14</v>
      </c>
      <c r="J119">
        <v>17</v>
      </c>
      <c r="K119">
        <v>17</v>
      </c>
      <c r="L119">
        <v>16</v>
      </c>
      <c r="M119">
        <v>19</v>
      </c>
      <c r="N119" s="57">
        <v>13</v>
      </c>
    </row>
    <row r="120" spans="1:14" x14ac:dyDescent="0.3">
      <c r="A120">
        <v>5</v>
      </c>
      <c r="B120">
        <v>5</v>
      </c>
      <c r="C120">
        <v>5</v>
      </c>
      <c r="D120">
        <v>5</v>
      </c>
      <c r="E120">
        <v>5</v>
      </c>
      <c r="F120">
        <v>4</v>
      </c>
      <c r="G120">
        <v>4</v>
      </c>
      <c r="H120">
        <v>5</v>
      </c>
      <c r="I120">
        <v>6</v>
      </c>
      <c r="J120">
        <v>9</v>
      </c>
      <c r="K120">
        <v>10</v>
      </c>
      <c r="L120">
        <v>6</v>
      </c>
      <c r="M120">
        <v>8</v>
      </c>
      <c r="N120" s="57">
        <v>11</v>
      </c>
    </row>
    <row r="121" spans="1:14" x14ac:dyDescent="0.3">
      <c r="A121">
        <v>6</v>
      </c>
      <c r="B121">
        <v>4</v>
      </c>
      <c r="C121">
        <v>4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6</v>
      </c>
      <c r="J121">
        <v>7</v>
      </c>
      <c r="K121">
        <v>11</v>
      </c>
      <c r="L121">
        <v>6</v>
      </c>
      <c r="M121">
        <v>7</v>
      </c>
      <c r="N121" s="57">
        <v>11</v>
      </c>
    </row>
    <row r="122" spans="1:14" x14ac:dyDescent="0.3">
      <c r="A122">
        <v>7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12</v>
      </c>
      <c r="J122">
        <v>12</v>
      </c>
      <c r="K122">
        <v>11</v>
      </c>
      <c r="L122">
        <v>12</v>
      </c>
      <c r="M122">
        <v>12</v>
      </c>
      <c r="N122" s="57">
        <v>11</v>
      </c>
    </row>
    <row r="123" spans="1:14" x14ac:dyDescent="0.3">
      <c r="A123">
        <v>8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3</v>
      </c>
      <c r="J123">
        <v>3</v>
      </c>
      <c r="K123">
        <v>2</v>
      </c>
      <c r="L123">
        <v>3</v>
      </c>
      <c r="M123">
        <v>3</v>
      </c>
      <c r="N123" s="57">
        <v>2</v>
      </c>
    </row>
    <row r="124" spans="1:14" x14ac:dyDescent="0.3">
      <c r="A124">
        <v>2</v>
      </c>
      <c r="B124">
        <v>5</v>
      </c>
      <c r="C124">
        <v>3</v>
      </c>
      <c r="D124">
        <v>3</v>
      </c>
      <c r="E124">
        <v>4</v>
      </c>
      <c r="F124">
        <v>0</v>
      </c>
      <c r="G124">
        <v>4</v>
      </c>
      <c r="H124">
        <v>1</v>
      </c>
      <c r="I124">
        <v>3</v>
      </c>
      <c r="J124">
        <v>3</v>
      </c>
      <c r="K124">
        <v>4</v>
      </c>
      <c r="L124">
        <v>0</v>
      </c>
      <c r="M124">
        <v>8</v>
      </c>
      <c r="N124" s="57">
        <v>2</v>
      </c>
    </row>
    <row r="125" spans="1:14" x14ac:dyDescent="0.3">
      <c r="A125">
        <v>3</v>
      </c>
      <c r="B125">
        <v>48</v>
      </c>
      <c r="C125">
        <v>39</v>
      </c>
      <c r="D125">
        <v>45</v>
      </c>
      <c r="E125">
        <v>41</v>
      </c>
      <c r="F125">
        <v>36</v>
      </c>
      <c r="G125">
        <v>43</v>
      </c>
      <c r="H125">
        <v>34</v>
      </c>
      <c r="I125">
        <v>46</v>
      </c>
      <c r="J125">
        <v>54</v>
      </c>
      <c r="K125">
        <v>44</v>
      </c>
      <c r="L125">
        <v>50</v>
      </c>
      <c r="M125">
        <v>55</v>
      </c>
      <c r="N125" s="57">
        <v>39</v>
      </c>
    </row>
    <row r="126" spans="1:14" x14ac:dyDescent="0.3">
      <c r="A126">
        <v>4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3</v>
      </c>
      <c r="H126">
        <v>2</v>
      </c>
      <c r="I126">
        <v>6</v>
      </c>
      <c r="J126">
        <v>4</v>
      </c>
      <c r="K126">
        <v>6</v>
      </c>
      <c r="L126">
        <v>7</v>
      </c>
      <c r="M126">
        <v>5</v>
      </c>
      <c r="N126" s="57">
        <v>4</v>
      </c>
    </row>
    <row r="127" spans="1:14" x14ac:dyDescent="0.3">
      <c r="A127">
        <v>5</v>
      </c>
      <c r="B127">
        <v>4</v>
      </c>
      <c r="C127">
        <v>4</v>
      </c>
      <c r="D127">
        <v>4</v>
      </c>
      <c r="E127">
        <v>4</v>
      </c>
      <c r="F127">
        <v>3</v>
      </c>
      <c r="G127">
        <v>3</v>
      </c>
      <c r="H127">
        <v>4</v>
      </c>
      <c r="I127">
        <v>7</v>
      </c>
      <c r="J127">
        <v>6</v>
      </c>
      <c r="K127">
        <v>7</v>
      </c>
      <c r="L127">
        <v>7</v>
      </c>
      <c r="M127">
        <v>4</v>
      </c>
      <c r="N127" s="57">
        <v>9</v>
      </c>
    </row>
    <row r="128" spans="1:14" x14ac:dyDescent="0.3">
      <c r="A128">
        <v>6</v>
      </c>
      <c r="B128">
        <v>4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4</v>
      </c>
      <c r="I128">
        <v>9</v>
      </c>
      <c r="J128">
        <v>8</v>
      </c>
      <c r="K128">
        <v>7</v>
      </c>
      <c r="L128">
        <v>9</v>
      </c>
      <c r="M128">
        <v>8</v>
      </c>
      <c r="N128" s="57">
        <v>7</v>
      </c>
    </row>
    <row r="129" spans="1:14" x14ac:dyDescent="0.3">
      <c r="A129">
        <v>7</v>
      </c>
      <c r="B129">
        <v>4</v>
      </c>
      <c r="C129">
        <v>4</v>
      </c>
      <c r="D129">
        <v>4</v>
      </c>
      <c r="E129">
        <v>4</v>
      </c>
      <c r="F129">
        <v>4</v>
      </c>
      <c r="G129">
        <v>4</v>
      </c>
      <c r="H129">
        <v>4</v>
      </c>
      <c r="I129">
        <v>8</v>
      </c>
      <c r="J129">
        <v>10</v>
      </c>
      <c r="K129">
        <v>10</v>
      </c>
      <c r="L129">
        <v>8</v>
      </c>
      <c r="M129">
        <v>10</v>
      </c>
      <c r="N129" s="57">
        <v>10</v>
      </c>
    </row>
    <row r="130" spans="1:14" x14ac:dyDescent="0.3">
      <c r="A130">
        <v>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2</v>
      </c>
      <c r="J130">
        <v>3</v>
      </c>
      <c r="K130">
        <v>3</v>
      </c>
      <c r="L130">
        <v>2</v>
      </c>
      <c r="M130">
        <v>3</v>
      </c>
      <c r="N130" s="57">
        <v>3</v>
      </c>
    </row>
    <row r="131" spans="1:14" x14ac:dyDescent="0.3">
      <c r="A131">
        <v>2</v>
      </c>
      <c r="B131">
        <v>4</v>
      </c>
      <c r="C131">
        <v>3</v>
      </c>
      <c r="D131">
        <v>3</v>
      </c>
      <c r="E131">
        <v>2</v>
      </c>
      <c r="F131">
        <v>3</v>
      </c>
      <c r="G131">
        <v>3</v>
      </c>
      <c r="H131">
        <v>0</v>
      </c>
      <c r="I131">
        <v>3</v>
      </c>
      <c r="J131">
        <v>3</v>
      </c>
      <c r="K131">
        <v>2</v>
      </c>
      <c r="L131">
        <v>4</v>
      </c>
      <c r="M131">
        <v>4</v>
      </c>
      <c r="N131" s="57">
        <v>0</v>
      </c>
    </row>
    <row r="132" spans="1:14" x14ac:dyDescent="0.3">
      <c r="A132">
        <v>3</v>
      </c>
      <c r="B132">
        <v>34</v>
      </c>
      <c r="C132">
        <v>32</v>
      </c>
      <c r="D132">
        <v>29</v>
      </c>
      <c r="E132">
        <v>27</v>
      </c>
      <c r="F132">
        <v>29</v>
      </c>
      <c r="G132">
        <v>24</v>
      </c>
      <c r="H132">
        <v>25</v>
      </c>
      <c r="I132">
        <v>39</v>
      </c>
      <c r="J132">
        <v>31</v>
      </c>
      <c r="K132">
        <v>32</v>
      </c>
      <c r="L132">
        <v>38</v>
      </c>
      <c r="M132">
        <v>29</v>
      </c>
      <c r="N132" s="57">
        <v>35</v>
      </c>
    </row>
    <row r="133" spans="1:14" x14ac:dyDescent="0.3">
      <c r="A133">
        <v>4</v>
      </c>
      <c r="B133">
        <v>8</v>
      </c>
      <c r="C133">
        <v>8</v>
      </c>
      <c r="D133">
        <v>8</v>
      </c>
      <c r="E133">
        <v>8</v>
      </c>
      <c r="F133">
        <v>7</v>
      </c>
      <c r="G133">
        <v>8</v>
      </c>
      <c r="H133">
        <v>6</v>
      </c>
      <c r="I133">
        <v>12</v>
      </c>
      <c r="J133">
        <v>10</v>
      </c>
      <c r="K133">
        <v>10</v>
      </c>
      <c r="L133">
        <v>11</v>
      </c>
      <c r="M133">
        <v>13</v>
      </c>
      <c r="N133" s="57">
        <v>8</v>
      </c>
    </row>
    <row r="134" spans="1:14" x14ac:dyDescent="0.3">
      <c r="A134">
        <v>5</v>
      </c>
      <c r="B134">
        <v>9</v>
      </c>
      <c r="C134">
        <v>9</v>
      </c>
      <c r="D134">
        <v>9</v>
      </c>
      <c r="E134">
        <v>9</v>
      </c>
      <c r="F134">
        <v>8</v>
      </c>
      <c r="G134">
        <v>9</v>
      </c>
      <c r="H134">
        <v>5</v>
      </c>
      <c r="I134">
        <v>14</v>
      </c>
      <c r="J134">
        <v>13</v>
      </c>
      <c r="K134">
        <v>18</v>
      </c>
      <c r="L134">
        <v>15</v>
      </c>
      <c r="M134">
        <v>19</v>
      </c>
      <c r="N134" s="57">
        <v>11</v>
      </c>
    </row>
    <row r="135" spans="1:14" x14ac:dyDescent="0.3">
      <c r="A135">
        <v>6</v>
      </c>
      <c r="B135">
        <v>6</v>
      </c>
      <c r="C135">
        <v>6</v>
      </c>
      <c r="D135">
        <v>6</v>
      </c>
      <c r="E135">
        <v>6</v>
      </c>
      <c r="F135">
        <v>6</v>
      </c>
      <c r="G135">
        <v>6</v>
      </c>
      <c r="H135">
        <v>6</v>
      </c>
      <c r="I135">
        <v>12</v>
      </c>
      <c r="J135">
        <v>14</v>
      </c>
      <c r="K135">
        <v>10</v>
      </c>
      <c r="L135">
        <v>12</v>
      </c>
      <c r="M135">
        <v>14</v>
      </c>
      <c r="N135" s="57">
        <v>10</v>
      </c>
    </row>
    <row r="136" spans="1:14" x14ac:dyDescent="0.3">
      <c r="A136">
        <v>7</v>
      </c>
      <c r="B136">
        <v>6</v>
      </c>
      <c r="C136">
        <v>6</v>
      </c>
      <c r="D136">
        <v>6</v>
      </c>
      <c r="E136">
        <v>6</v>
      </c>
      <c r="F136">
        <v>6</v>
      </c>
      <c r="G136">
        <v>6</v>
      </c>
      <c r="H136">
        <v>6</v>
      </c>
      <c r="I136">
        <v>12</v>
      </c>
      <c r="J136">
        <v>13</v>
      </c>
      <c r="K136">
        <v>17</v>
      </c>
      <c r="L136">
        <v>12</v>
      </c>
      <c r="M136">
        <v>13</v>
      </c>
      <c r="N136" s="57">
        <v>17</v>
      </c>
    </row>
    <row r="137" spans="1:14" x14ac:dyDescent="0.3">
      <c r="A137">
        <v>8</v>
      </c>
      <c r="B137">
        <v>3</v>
      </c>
      <c r="C137">
        <v>3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8</v>
      </c>
      <c r="J137">
        <v>7</v>
      </c>
      <c r="K137">
        <v>9</v>
      </c>
      <c r="L137">
        <v>8</v>
      </c>
      <c r="M137">
        <v>7</v>
      </c>
      <c r="N137" s="57">
        <v>9</v>
      </c>
    </row>
    <row r="138" spans="1:14" x14ac:dyDescent="0.3">
      <c r="A138">
        <v>2</v>
      </c>
      <c r="B138">
        <v>3</v>
      </c>
      <c r="C138">
        <v>2</v>
      </c>
      <c r="D138">
        <v>2</v>
      </c>
      <c r="E138">
        <v>2</v>
      </c>
      <c r="F138">
        <v>1</v>
      </c>
      <c r="G138">
        <v>1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1</v>
      </c>
      <c r="N138" s="57">
        <v>3</v>
      </c>
    </row>
    <row r="139" spans="1:14" x14ac:dyDescent="0.3">
      <c r="A139">
        <v>3</v>
      </c>
      <c r="B139">
        <v>41</v>
      </c>
      <c r="C139">
        <v>35</v>
      </c>
      <c r="D139">
        <v>38</v>
      </c>
      <c r="E139">
        <v>37</v>
      </c>
      <c r="F139">
        <v>28</v>
      </c>
      <c r="G139">
        <v>35</v>
      </c>
      <c r="H139">
        <v>34</v>
      </c>
      <c r="I139">
        <v>39</v>
      </c>
      <c r="J139">
        <v>44</v>
      </c>
      <c r="K139">
        <v>40</v>
      </c>
      <c r="L139">
        <v>35</v>
      </c>
      <c r="M139">
        <v>48</v>
      </c>
      <c r="N139" s="57">
        <v>40</v>
      </c>
    </row>
    <row r="140" spans="1:14" x14ac:dyDescent="0.3">
      <c r="A140">
        <v>4</v>
      </c>
      <c r="B140">
        <v>10</v>
      </c>
      <c r="C140">
        <v>10</v>
      </c>
      <c r="D140">
        <v>10</v>
      </c>
      <c r="E140">
        <v>10</v>
      </c>
      <c r="F140">
        <v>8</v>
      </c>
      <c r="G140">
        <v>8</v>
      </c>
      <c r="H140">
        <v>7</v>
      </c>
      <c r="I140">
        <v>12</v>
      </c>
      <c r="J140">
        <v>12</v>
      </c>
      <c r="K140">
        <v>16</v>
      </c>
      <c r="L140">
        <v>14</v>
      </c>
      <c r="M140">
        <v>13</v>
      </c>
      <c r="N140" s="57">
        <v>13</v>
      </c>
    </row>
    <row r="141" spans="1:14" x14ac:dyDescent="0.3">
      <c r="A141">
        <v>5</v>
      </c>
      <c r="B141">
        <v>7</v>
      </c>
      <c r="C141">
        <v>7</v>
      </c>
      <c r="D141">
        <v>7</v>
      </c>
      <c r="E141">
        <v>7</v>
      </c>
      <c r="F141">
        <v>6</v>
      </c>
      <c r="G141">
        <v>6</v>
      </c>
      <c r="H141">
        <v>5</v>
      </c>
      <c r="I141">
        <v>11</v>
      </c>
      <c r="J141">
        <v>12</v>
      </c>
      <c r="K141">
        <v>12</v>
      </c>
      <c r="L141">
        <v>12</v>
      </c>
      <c r="M141">
        <v>13</v>
      </c>
      <c r="N141" s="57">
        <v>10</v>
      </c>
    </row>
    <row r="142" spans="1:14" x14ac:dyDescent="0.3">
      <c r="A142">
        <v>6</v>
      </c>
      <c r="B142">
        <v>3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3</v>
      </c>
      <c r="I142">
        <v>7</v>
      </c>
      <c r="J142">
        <v>6</v>
      </c>
      <c r="K142">
        <v>5</v>
      </c>
      <c r="L142">
        <v>7</v>
      </c>
      <c r="M142">
        <v>6</v>
      </c>
      <c r="N142" s="57">
        <v>5</v>
      </c>
    </row>
    <row r="143" spans="1:14" x14ac:dyDescent="0.3">
      <c r="A143">
        <v>7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4</v>
      </c>
      <c r="J143">
        <v>4</v>
      </c>
      <c r="K143">
        <v>6</v>
      </c>
      <c r="L143">
        <v>4</v>
      </c>
      <c r="M143">
        <v>4</v>
      </c>
      <c r="N143" s="57">
        <v>6</v>
      </c>
    </row>
    <row r="144" spans="1:14" x14ac:dyDescent="0.3">
      <c r="A144">
        <v>8</v>
      </c>
      <c r="B144">
        <v>4</v>
      </c>
      <c r="C144">
        <v>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12</v>
      </c>
      <c r="J144">
        <v>10</v>
      </c>
      <c r="K144">
        <v>10</v>
      </c>
      <c r="L144">
        <v>12</v>
      </c>
      <c r="M144">
        <v>10</v>
      </c>
      <c r="N144" s="57">
        <v>10</v>
      </c>
    </row>
    <row r="145" spans="1:14" x14ac:dyDescent="0.3">
      <c r="A145">
        <v>2</v>
      </c>
      <c r="B145">
        <v>6</v>
      </c>
      <c r="C145">
        <v>5</v>
      </c>
      <c r="D145">
        <v>4</v>
      </c>
      <c r="E145">
        <v>3</v>
      </c>
      <c r="F145">
        <v>3</v>
      </c>
      <c r="G145">
        <v>2</v>
      </c>
      <c r="H145">
        <v>3</v>
      </c>
      <c r="I145">
        <v>5</v>
      </c>
      <c r="J145">
        <v>4</v>
      </c>
      <c r="K145">
        <v>3</v>
      </c>
      <c r="L145">
        <v>4</v>
      </c>
      <c r="M145">
        <v>3</v>
      </c>
      <c r="N145" s="57">
        <v>5</v>
      </c>
    </row>
    <row r="146" spans="1:14" x14ac:dyDescent="0.3">
      <c r="A146">
        <v>3</v>
      </c>
      <c r="B146">
        <v>39</v>
      </c>
      <c r="C146">
        <v>36</v>
      </c>
      <c r="D146">
        <v>34</v>
      </c>
      <c r="E146">
        <v>33</v>
      </c>
      <c r="F146">
        <v>32</v>
      </c>
      <c r="G146">
        <v>31</v>
      </c>
      <c r="H146">
        <v>27</v>
      </c>
      <c r="I146">
        <v>42</v>
      </c>
      <c r="J146">
        <v>37</v>
      </c>
      <c r="K146">
        <v>38</v>
      </c>
      <c r="L146">
        <v>44</v>
      </c>
      <c r="M146">
        <v>38</v>
      </c>
      <c r="N146" s="57">
        <v>35</v>
      </c>
    </row>
    <row r="147" spans="1:14" x14ac:dyDescent="0.3">
      <c r="A147">
        <v>4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7</v>
      </c>
      <c r="H147">
        <v>9</v>
      </c>
      <c r="I147">
        <v>14</v>
      </c>
      <c r="J147">
        <v>12</v>
      </c>
      <c r="K147">
        <v>14</v>
      </c>
      <c r="L147">
        <v>16</v>
      </c>
      <c r="M147">
        <v>10</v>
      </c>
      <c r="N147" s="57">
        <v>14</v>
      </c>
    </row>
    <row r="148" spans="1:14" x14ac:dyDescent="0.3">
      <c r="A148">
        <v>5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4</v>
      </c>
      <c r="H148">
        <v>4</v>
      </c>
      <c r="I148">
        <v>8</v>
      </c>
      <c r="J148">
        <v>10</v>
      </c>
      <c r="K148">
        <v>7</v>
      </c>
      <c r="L148">
        <v>10</v>
      </c>
      <c r="M148">
        <v>9</v>
      </c>
      <c r="N148" s="57">
        <v>6</v>
      </c>
    </row>
    <row r="149" spans="1:14" x14ac:dyDescent="0.3">
      <c r="A149">
        <v>6</v>
      </c>
      <c r="B149">
        <v>4</v>
      </c>
      <c r="C149">
        <v>4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8</v>
      </c>
      <c r="J149">
        <v>8</v>
      </c>
      <c r="K149">
        <v>8</v>
      </c>
      <c r="L149">
        <v>8</v>
      </c>
      <c r="M149">
        <v>8</v>
      </c>
      <c r="N149" s="57">
        <v>8</v>
      </c>
    </row>
    <row r="150" spans="1:14" x14ac:dyDescent="0.3">
      <c r="A150">
        <v>7</v>
      </c>
      <c r="B150">
        <v>5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11</v>
      </c>
      <c r="J150">
        <v>11</v>
      </c>
      <c r="K150">
        <v>13</v>
      </c>
      <c r="L150">
        <v>11</v>
      </c>
      <c r="M150">
        <v>11</v>
      </c>
      <c r="N150" s="57">
        <v>13</v>
      </c>
    </row>
    <row r="151" spans="1:14" x14ac:dyDescent="0.3">
      <c r="A151">
        <v>8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2</v>
      </c>
      <c r="J151">
        <v>3</v>
      </c>
      <c r="K151">
        <v>3</v>
      </c>
      <c r="L151">
        <v>2</v>
      </c>
      <c r="M151">
        <v>3</v>
      </c>
      <c r="N151" s="57">
        <v>3</v>
      </c>
    </row>
    <row r="152" spans="1:14" x14ac:dyDescent="0.3">
      <c r="A152">
        <v>2</v>
      </c>
      <c r="B152">
        <v>6</v>
      </c>
      <c r="C152">
        <v>4</v>
      </c>
      <c r="D152">
        <v>6</v>
      </c>
      <c r="E152">
        <v>2</v>
      </c>
      <c r="F152">
        <v>3</v>
      </c>
      <c r="G152">
        <v>2</v>
      </c>
      <c r="H152">
        <v>3</v>
      </c>
      <c r="I152">
        <v>4</v>
      </c>
      <c r="J152">
        <v>6</v>
      </c>
      <c r="K152">
        <v>2</v>
      </c>
      <c r="L152">
        <v>4</v>
      </c>
      <c r="M152">
        <v>2</v>
      </c>
      <c r="N152" s="57">
        <v>6</v>
      </c>
    </row>
    <row r="153" spans="1:14" x14ac:dyDescent="0.3">
      <c r="A153">
        <v>3</v>
      </c>
      <c r="B153">
        <v>41</v>
      </c>
      <c r="C153">
        <v>38</v>
      </c>
      <c r="D153">
        <v>39</v>
      </c>
      <c r="E153">
        <v>37</v>
      </c>
      <c r="F153">
        <v>32</v>
      </c>
      <c r="G153">
        <v>32</v>
      </c>
      <c r="H153">
        <v>28</v>
      </c>
      <c r="I153">
        <v>42</v>
      </c>
      <c r="J153">
        <v>42</v>
      </c>
      <c r="K153">
        <v>39</v>
      </c>
      <c r="L153">
        <v>45</v>
      </c>
      <c r="M153">
        <v>41</v>
      </c>
      <c r="N153" s="57">
        <v>37</v>
      </c>
    </row>
    <row r="154" spans="1:14" x14ac:dyDescent="0.3">
      <c r="A154">
        <v>4</v>
      </c>
      <c r="B154">
        <v>11</v>
      </c>
      <c r="C154">
        <v>11</v>
      </c>
      <c r="D154">
        <v>11</v>
      </c>
      <c r="E154">
        <v>11</v>
      </c>
      <c r="F154">
        <v>8</v>
      </c>
      <c r="G154">
        <v>10</v>
      </c>
      <c r="H154">
        <v>8</v>
      </c>
      <c r="I154">
        <v>17</v>
      </c>
      <c r="J154">
        <v>15</v>
      </c>
      <c r="K154">
        <v>12</v>
      </c>
      <c r="L154">
        <v>14</v>
      </c>
      <c r="M154">
        <v>18</v>
      </c>
      <c r="N154" s="57">
        <v>12</v>
      </c>
    </row>
    <row r="155" spans="1:14" x14ac:dyDescent="0.3">
      <c r="A155">
        <v>5</v>
      </c>
      <c r="B155">
        <v>2</v>
      </c>
      <c r="C155">
        <v>2</v>
      </c>
      <c r="D155">
        <v>2</v>
      </c>
      <c r="E155">
        <v>2</v>
      </c>
      <c r="F155">
        <v>1</v>
      </c>
      <c r="G155">
        <v>2</v>
      </c>
      <c r="H155">
        <v>2</v>
      </c>
      <c r="I155">
        <v>4</v>
      </c>
      <c r="J155">
        <v>3</v>
      </c>
      <c r="K155">
        <v>3</v>
      </c>
      <c r="L155">
        <v>2</v>
      </c>
      <c r="M155">
        <v>4</v>
      </c>
      <c r="N155" s="57">
        <v>4</v>
      </c>
    </row>
    <row r="156" spans="1:14" x14ac:dyDescent="0.3">
      <c r="A156">
        <v>6</v>
      </c>
      <c r="B156">
        <v>4</v>
      </c>
      <c r="C156">
        <v>4</v>
      </c>
      <c r="D156">
        <v>4</v>
      </c>
      <c r="E156">
        <v>4</v>
      </c>
      <c r="F156">
        <v>4</v>
      </c>
      <c r="G156">
        <v>4</v>
      </c>
      <c r="H156">
        <v>4</v>
      </c>
      <c r="I156">
        <v>7</v>
      </c>
      <c r="J156">
        <v>10</v>
      </c>
      <c r="K156">
        <v>7</v>
      </c>
      <c r="L156">
        <v>7</v>
      </c>
      <c r="M156">
        <v>10</v>
      </c>
      <c r="N156" s="57">
        <v>7</v>
      </c>
    </row>
    <row r="157" spans="1:14" x14ac:dyDescent="0.3">
      <c r="A157">
        <v>7</v>
      </c>
      <c r="B157">
        <v>3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7</v>
      </c>
      <c r="J157">
        <v>7</v>
      </c>
      <c r="K157">
        <v>7</v>
      </c>
      <c r="L157">
        <v>7</v>
      </c>
      <c r="M157">
        <v>7</v>
      </c>
      <c r="N157" s="57">
        <v>7</v>
      </c>
    </row>
    <row r="158" spans="1:14" x14ac:dyDescent="0.3">
      <c r="A158">
        <v>8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8</v>
      </c>
      <c r="J158">
        <v>8</v>
      </c>
      <c r="K158">
        <v>8</v>
      </c>
      <c r="L158">
        <v>8</v>
      </c>
      <c r="M158">
        <v>8</v>
      </c>
      <c r="N158" s="57">
        <v>8</v>
      </c>
    </row>
    <row r="159" spans="1:14" x14ac:dyDescent="0.3">
      <c r="A159">
        <v>2</v>
      </c>
      <c r="B159">
        <v>8</v>
      </c>
      <c r="C159">
        <v>4</v>
      </c>
      <c r="D159">
        <v>8</v>
      </c>
      <c r="E159">
        <v>4</v>
      </c>
      <c r="F159">
        <v>4</v>
      </c>
      <c r="G159">
        <v>5</v>
      </c>
      <c r="H159">
        <v>1</v>
      </c>
      <c r="I159">
        <v>4</v>
      </c>
      <c r="J159">
        <v>8</v>
      </c>
      <c r="K159">
        <v>4</v>
      </c>
      <c r="L159">
        <v>6</v>
      </c>
      <c r="M159">
        <v>8</v>
      </c>
      <c r="N159" s="57">
        <v>2</v>
      </c>
    </row>
    <row r="160" spans="1:14" x14ac:dyDescent="0.3">
      <c r="A160">
        <v>3</v>
      </c>
      <c r="B160">
        <v>38</v>
      </c>
      <c r="C160">
        <v>36</v>
      </c>
      <c r="D160">
        <v>34</v>
      </c>
      <c r="E160">
        <v>34</v>
      </c>
      <c r="F160">
        <v>32</v>
      </c>
      <c r="G160">
        <v>34</v>
      </c>
      <c r="H160">
        <v>28</v>
      </c>
      <c r="I160">
        <v>40</v>
      </c>
      <c r="J160">
        <v>36</v>
      </c>
      <c r="K160">
        <v>38</v>
      </c>
      <c r="L160">
        <v>42</v>
      </c>
      <c r="M160">
        <v>40</v>
      </c>
      <c r="N160" s="57">
        <v>32</v>
      </c>
    </row>
    <row r="161" spans="1:14" x14ac:dyDescent="0.3">
      <c r="A161">
        <v>4</v>
      </c>
      <c r="B161">
        <v>13</v>
      </c>
      <c r="C161">
        <v>13</v>
      </c>
      <c r="D161">
        <v>13</v>
      </c>
      <c r="E161">
        <v>13</v>
      </c>
      <c r="F161">
        <v>12</v>
      </c>
      <c r="G161">
        <v>10</v>
      </c>
      <c r="H161">
        <v>13</v>
      </c>
      <c r="I161">
        <v>16</v>
      </c>
      <c r="J161">
        <v>16</v>
      </c>
      <c r="K161">
        <v>20</v>
      </c>
      <c r="L161">
        <v>16</v>
      </c>
      <c r="M161">
        <v>13</v>
      </c>
      <c r="N161" s="57">
        <v>23</v>
      </c>
    </row>
    <row r="162" spans="1:14" x14ac:dyDescent="0.3">
      <c r="A162">
        <v>5</v>
      </c>
      <c r="B162">
        <v>6</v>
      </c>
      <c r="C162">
        <v>6</v>
      </c>
      <c r="D162">
        <v>6</v>
      </c>
      <c r="E162">
        <v>6</v>
      </c>
      <c r="F162">
        <v>6</v>
      </c>
      <c r="G162">
        <v>4</v>
      </c>
      <c r="H162">
        <v>6</v>
      </c>
      <c r="I162">
        <v>8</v>
      </c>
      <c r="J162">
        <v>11</v>
      </c>
      <c r="K162">
        <v>11</v>
      </c>
      <c r="L162">
        <v>12</v>
      </c>
      <c r="M162">
        <v>7</v>
      </c>
      <c r="N162" s="57">
        <v>11</v>
      </c>
    </row>
    <row r="163" spans="1:14" x14ac:dyDescent="0.3">
      <c r="A163">
        <v>6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2</v>
      </c>
      <c r="K163">
        <v>3</v>
      </c>
      <c r="L163">
        <v>1</v>
      </c>
      <c r="M163">
        <v>2</v>
      </c>
      <c r="N163" s="57">
        <v>3</v>
      </c>
    </row>
    <row r="164" spans="1:14" x14ac:dyDescent="0.3">
      <c r="A164">
        <v>7</v>
      </c>
      <c r="B164">
        <v>4</v>
      </c>
      <c r="C164">
        <v>4</v>
      </c>
      <c r="D164">
        <v>4</v>
      </c>
      <c r="E164">
        <v>4</v>
      </c>
      <c r="F164">
        <v>4</v>
      </c>
      <c r="G164">
        <v>4</v>
      </c>
      <c r="H164">
        <v>4</v>
      </c>
      <c r="I164">
        <v>11</v>
      </c>
      <c r="J164">
        <v>8</v>
      </c>
      <c r="K164">
        <v>9</v>
      </c>
      <c r="L164">
        <v>11</v>
      </c>
      <c r="M164">
        <v>8</v>
      </c>
      <c r="N164" s="57">
        <v>9</v>
      </c>
    </row>
    <row r="165" spans="1:14" x14ac:dyDescent="0.3">
      <c r="A165">
        <v>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s="57">
        <v>0</v>
      </c>
    </row>
    <row r="166" spans="1:14" x14ac:dyDescent="0.3">
      <c r="A166">
        <v>2</v>
      </c>
      <c r="B166">
        <v>5</v>
      </c>
      <c r="C166">
        <v>4</v>
      </c>
      <c r="D166">
        <v>4</v>
      </c>
      <c r="E166">
        <v>2</v>
      </c>
      <c r="F166">
        <v>3</v>
      </c>
      <c r="G166">
        <v>2</v>
      </c>
      <c r="H166">
        <v>1</v>
      </c>
      <c r="I166">
        <v>4</v>
      </c>
      <c r="J166">
        <v>4</v>
      </c>
      <c r="K166">
        <v>2</v>
      </c>
      <c r="L166">
        <v>5</v>
      </c>
      <c r="M166">
        <v>3</v>
      </c>
      <c r="N166" s="57">
        <v>2</v>
      </c>
    </row>
    <row r="167" spans="1:14" x14ac:dyDescent="0.3">
      <c r="A167">
        <v>3</v>
      </c>
      <c r="B167">
        <v>46</v>
      </c>
      <c r="C167">
        <v>43</v>
      </c>
      <c r="D167">
        <v>43</v>
      </c>
      <c r="E167">
        <v>42</v>
      </c>
      <c r="F167">
        <v>35</v>
      </c>
      <c r="G167">
        <v>40</v>
      </c>
      <c r="H167">
        <v>34</v>
      </c>
      <c r="I167">
        <v>47</v>
      </c>
      <c r="J167">
        <v>46</v>
      </c>
      <c r="K167">
        <v>45</v>
      </c>
      <c r="L167">
        <v>47</v>
      </c>
      <c r="M167">
        <v>51</v>
      </c>
      <c r="N167" s="57">
        <v>40</v>
      </c>
    </row>
    <row r="168" spans="1:14" x14ac:dyDescent="0.3">
      <c r="A168">
        <v>4</v>
      </c>
      <c r="B168">
        <v>7</v>
      </c>
      <c r="C168">
        <v>7</v>
      </c>
      <c r="D168">
        <v>7</v>
      </c>
      <c r="E168">
        <v>7</v>
      </c>
      <c r="F168">
        <v>6</v>
      </c>
      <c r="G168">
        <v>6</v>
      </c>
      <c r="H168">
        <v>7</v>
      </c>
      <c r="I168">
        <v>10</v>
      </c>
      <c r="J168">
        <v>8</v>
      </c>
      <c r="K168">
        <v>10</v>
      </c>
      <c r="L168">
        <v>9</v>
      </c>
      <c r="M168">
        <v>8</v>
      </c>
      <c r="N168" s="57">
        <v>11</v>
      </c>
    </row>
    <row r="169" spans="1:14" x14ac:dyDescent="0.3">
      <c r="A169">
        <v>5</v>
      </c>
      <c r="B169">
        <v>4</v>
      </c>
      <c r="C169">
        <v>4</v>
      </c>
      <c r="D169">
        <v>4</v>
      </c>
      <c r="E169">
        <v>4</v>
      </c>
      <c r="F169">
        <v>3</v>
      </c>
      <c r="G169">
        <v>3</v>
      </c>
      <c r="H169">
        <v>3</v>
      </c>
      <c r="I169">
        <v>7</v>
      </c>
      <c r="J169">
        <v>7</v>
      </c>
      <c r="K169">
        <v>6</v>
      </c>
      <c r="L169">
        <v>7</v>
      </c>
      <c r="M169">
        <v>7</v>
      </c>
      <c r="N169" s="57">
        <v>6</v>
      </c>
    </row>
    <row r="170" spans="1:14" x14ac:dyDescent="0.3">
      <c r="A170">
        <v>6</v>
      </c>
      <c r="B170">
        <v>5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5</v>
      </c>
      <c r="I170">
        <v>7</v>
      </c>
      <c r="J170">
        <v>11</v>
      </c>
      <c r="K170">
        <v>12</v>
      </c>
      <c r="L170">
        <v>7</v>
      </c>
      <c r="M170">
        <v>11</v>
      </c>
      <c r="N170" s="57">
        <v>12</v>
      </c>
    </row>
    <row r="171" spans="1:14" x14ac:dyDescent="0.3">
      <c r="A171">
        <v>7</v>
      </c>
      <c r="B171">
        <v>3</v>
      </c>
      <c r="C171">
        <v>3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6</v>
      </c>
      <c r="J171">
        <v>6</v>
      </c>
      <c r="K171">
        <v>9</v>
      </c>
      <c r="L171">
        <v>6</v>
      </c>
      <c r="M171">
        <v>6</v>
      </c>
      <c r="N171" s="57">
        <v>9</v>
      </c>
    </row>
    <row r="172" spans="1:14" x14ac:dyDescent="0.3">
      <c r="A172">
        <v>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s="57">
        <v>0</v>
      </c>
    </row>
    <row r="173" spans="1:14" x14ac:dyDescent="0.3">
      <c r="A173">
        <v>2</v>
      </c>
      <c r="B173">
        <v>2</v>
      </c>
      <c r="C173">
        <v>1</v>
      </c>
      <c r="D173">
        <v>1</v>
      </c>
      <c r="E173">
        <v>2</v>
      </c>
      <c r="F173">
        <v>2</v>
      </c>
      <c r="G173">
        <v>0</v>
      </c>
      <c r="H173">
        <v>1</v>
      </c>
      <c r="I173">
        <v>1</v>
      </c>
      <c r="J173">
        <v>1</v>
      </c>
      <c r="K173">
        <v>2</v>
      </c>
      <c r="L173">
        <v>3</v>
      </c>
      <c r="M173">
        <v>0</v>
      </c>
      <c r="N173" s="57">
        <v>1</v>
      </c>
    </row>
    <row r="174" spans="1:14" x14ac:dyDescent="0.3">
      <c r="A174">
        <v>3</v>
      </c>
      <c r="B174">
        <v>41</v>
      </c>
      <c r="C174">
        <v>38</v>
      </c>
      <c r="D174">
        <v>36</v>
      </c>
      <c r="E174">
        <v>36</v>
      </c>
      <c r="F174">
        <v>32</v>
      </c>
      <c r="G174">
        <v>33</v>
      </c>
      <c r="H174">
        <v>30</v>
      </c>
      <c r="I174">
        <v>43</v>
      </c>
      <c r="J174">
        <v>39</v>
      </c>
      <c r="K174">
        <v>41</v>
      </c>
      <c r="L174">
        <v>43</v>
      </c>
      <c r="M174">
        <v>42</v>
      </c>
      <c r="N174" s="57">
        <v>38</v>
      </c>
    </row>
    <row r="175" spans="1:14" x14ac:dyDescent="0.3">
      <c r="A175">
        <v>4</v>
      </c>
      <c r="B175">
        <v>11</v>
      </c>
      <c r="C175">
        <v>11</v>
      </c>
      <c r="D175">
        <v>11</v>
      </c>
      <c r="E175">
        <v>11</v>
      </c>
      <c r="F175">
        <v>8</v>
      </c>
      <c r="G175">
        <v>10</v>
      </c>
      <c r="H175">
        <v>9</v>
      </c>
      <c r="I175">
        <v>16</v>
      </c>
      <c r="J175">
        <v>13</v>
      </c>
      <c r="K175">
        <v>15</v>
      </c>
      <c r="L175">
        <v>14</v>
      </c>
      <c r="M175">
        <v>16</v>
      </c>
      <c r="N175" s="57">
        <v>14</v>
      </c>
    </row>
    <row r="176" spans="1:14" x14ac:dyDescent="0.3">
      <c r="A176">
        <v>5</v>
      </c>
      <c r="B176">
        <v>6</v>
      </c>
      <c r="C176">
        <v>6</v>
      </c>
      <c r="D176">
        <v>6</v>
      </c>
      <c r="E176">
        <v>6</v>
      </c>
      <c r="F176">
        <v>6</v>
      </c>
      <c r="G176">
        <v>4</v>
      </c>
      <c r="H176">
        <v>6</v>
      </c>
      <c r="I176">
        <v>10</v>
      </c>
      <c r="J176">
        <v>10</v>
      </c>
      <c r="K176">
        <v>10</v>
      </c>
      <c r="L176">
        <v>12</v>
      </c>
      <c r="M176">
        <v>7</v>
      </c>
      <c r="N176" s="57">
        <v>11</v>
      </c>
    </row>
    <row r="177" spans="1:14" x14ac:dyDescent="0.3">
      <c r="A177">
        <v>6</v>
      </c>
      <c r="B177">
        <v>7</v>
      </c>
      <c r="C177">
        <v>7</v>
      </c>
      <c r="D177">
        <v>7</v>
      </c>
      <c r="E177">
        <v>7</v>
      </c>
      <c r="F177">
        <v>7</v>
      </c>
      <c r="G177">
        <v>7</v>
      </c>
      <c r="H177">
        <v>7</v>
      </c>
      <c r="I177">
        <v>12</v>
      </c>
      <c r="J177">
        <v>13</v>
      </c>
      <c r="K177">
        <v>17</v>
      </c>
      <c r="L177">
        <v>12</v>
      </c>
      <c r="M177">
        <v>13</v>
      </c>
      <c r="N177" s="57">
        <v>17</v>
      </c>
    </row>
    <row r="178" spans="1:14" x14ac:dyDescent="0.3">
      <c r="A178">
        <v>7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4</v>
      </c>
      <c r="J178">
        <v>5</v>
      </c>
      <c r="K178">
        <v>5</v>
      </c>
      <c r="L178">
        <v>4</v>
      </c>
      <c r="M178">
        <v>5</v>
      </c>
      <c r="N178" s="57">
        <v>5</v>
      </c>
    </row>
    <row r="179" spans="1:14" x14ac:dyDescent="0.3">
      <c r="A179">
        <v>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3</v>
      </c>
      <c r="J179">
        <v>3</v>
      </c>
      <c r="K179">
        <v>2</v>
      </c>
      <c r="L179">
        <v>3</v>
      </c>
      <c r="M179">
        <v>3</v>
      </c>
      <c r="N179" s="57">
        <v>2</v>
      </c>
    </row>
    <row r="180" spans="1:14" x14ac:dyDescent="0.3">
      <c r="A180">
        <v>2</v>
      </c>
      <c r="B180">
        <v>2</v>
      </c>
      <c r="C180">
        <v>2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2</v>
      </c>
      <c r="J180">
        <v>1</v>
      </c>
      <c r="K180">
        <v>1</v>
      </c>
      <c r="L180">
        <v>1</v>
      </c>
      <c r="M180">
        <v>1</v>
      </c>
      <c r="N180" s="57">
        <v>2</v>
      </c>
    </row>
    <row r="181" spans="1:14" x14ac:dyDescent="0.3">
      <c r="A181">
        <v>3</v>
      </c>
      <c r="B181">
        <v>40</v>
      </c>
      <c r="C181">
        <v>34</v>
      </c>
      <c r="D181">
        <v>36</v>
      </c>
      <c r="E181">
        <v>38</v>
      </c>
      <c r="F181">
        <v>30</v>
      </c>
      <c r="G181">
        <v>33</v>
      </c>
      <c r="H181">
        <v>32</v>
      </c>
      <c r="I181">
        <v>36</v>
      </c>
      <c r="J181">
        <v>42</v>
      </c>
      <c r="K181">
        <v>42</v>
      </c>
      <c r="L181">
        <v>38</v>
      </c>
      <c r="M181">
        <v>43</v>
      </c>
      <c r="N181" s="57">
        <v>39</v>
      </c>
    </row>
    <row r="182" spans="1:14" x14ac:dyDescent="0.3">
      <c r="A182">
        <v>4</v>
      </c>
      <c r="B182">
        <v>10</v>
      </c>
      <c r="C182">
        <v>10</v>
      </c>
      <c r="D182">
        <v>10</v>
      </c>
      <c r="E182">
        <v>10</v>
      </c>
      <c r="F182">
        <v>9</v>
      </c>
      <c r="G182">
        <v>10</v>
      </c>
      <c r="H182">
        <v>8</v>
      </c>
      <c r="I182">
        <v>12</v>
      </c>
      <c r="J182">
        <v>14</v>
      </c>
      <c r="K182">
        <v>14</v>
      </c>
      <c r="L182">
        <v>13</v>
      </c>
      <c r="M182">
        <v>16</v>
      </c>
      <c r="N182" s="57">
        <v>11</v>
      </c>
    </row>
    <row r="183" spans="1:14" x14ac:dyDescent="0.3">
      <c r="A183">
        <v>5</v>
      </c>
      <c r="B183">
        <v>8</v>
      </c>
      <c r="C183">
        <v>8</v>
      </c>
      <c r="D183">
        <v>8</v>
      </c>
      <c r="E183">
        <v>8</v>
      </c>
      <c r="F183">
        <v>7</v>
      </c>
      <c r="G183">
        <v>8</v>
      </c>
      <c r="H183">
        <v>8</v>
      </c>
      <c r="I183">
        <v>14</v>
      </c>
      <c r="J183">
        <v>15</v>
      </c>
      <c r="K183">
        <v>11</v>
      </c>
      <c r="L183">
        <v>12</v>
      </c>
      <c r="M183">
        <v>16</v>
      </c>
      <c r="N183" s="57">
        <v>12</v>
      </c>
    </row>
    <row r="184" spans="1:14" x14ac:dyDescent="0.3">
      <c r="A184">
        <v>6</v>
      </c>
      <c r="B184">
        <v>3</v>
      </c>
      <c r="C184">
        <v>3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5</v>
      </c>
      <c r="J184">
        <v>8</v>
      </c>
      <c r="K184">
        <v>5</v>
      </c>
      <c r="L184">
        <v>5</v>
      </c>
      <c r="M184">
        <v>8</v>
      </c>
      <c r="N184" s="57">
        <v>5</v>
      </c>
    </row>
    <row r="185" spans="1:14" x14ac:dyDescent="0.3">
      <c r="A185">
        <v>7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3</v>
      </c>
      <c r="J185">
        <v>2</v>
      </c>
      <c r="K185">
        <v>2</v>
      </c>
      <c r="L185">
        <v>3</v>
      </c>
      <c r="M185">
        <v>2</v>
      </c>
      <c r="N185" s="57">
        <v>2</v>
      </c>
    </row>
    <row r="186" spans="1:14" x14ac:dyDescent="0.3">
      <c r="A186">
        <v>8</v>
      </c>
      <c r="B186">
        <v>6</v>
      </c>
      <c r="C186">
        <v>6</v>
      </c>
      <c r="D186">
        <v>6</v>
      </c>
      <c r="E186">
        <v>6</v>
      </c>
      <c r="F186">
        <v>6</v>
      </c>
      <c r="G186">
        <v>6</v>
      </c>
      <c r="H186">
        <v>6</v>
      </c>
      <c r="I186">
        <v>16</v>
      </c>
      <c r="J186">
        <v>17</v>
      </c>
      <c r="K186">
        <v>15</v>
      </c>
      <c r="L186">
        <v>16</v>
      </c>
      <c r="M186">
        <v>17</v>
      </c>
      <c r="N186" s="57">
        <v>15</v>
      </c>
    </row>
    <row r="187" spans="1:14" x14ac:dyDescent="0.3">
      <c r="A187">
        <v>2</v>
      </c>
      <c r="B187">
        <v>5</v>
      </c>
      <c r="C187">
        <v>4</v>
      </c>
      <c r="D187">
        <v>2</v>
      </c>
      <c r="E187">
        <v>4</v>
      </c>
      <c r="F187">
        <v>3</v>
      </c>
      <c r="G187">
        <v>1</v>
      </c>
      <c r="H187">
        <v>4</v>
      </c>
      <c r="I187">
        <v>4</v>
      </c>
      <c r="J187">
        <v>2</v>
      </c>
      <c r="K187">
        <v>4</v>
      </c>
      <c r="L187">
        <v>4</v>
      </c>
      <c r="M187">
        <v>1</v>
      </c>
      <c r="N187" s="57">
        <v>5</v>
      </c>
    </row>
    <row r="188" spans="1:14" x14ac:dyDescent="0.3">
      <c r="A188">
        <v>3</v>
      </c>
      <c r="B188">
        <v>43</v>
      </c>
      <c r="C188">
        <v>37</v>
      </c>
      <c r="D188">
        <v>36</v>
      </c>
      <c r="E188">
        <v>41</v>
      </c>
      <c r="F188">
        <v>31</v>
      </c>
      <c r="G188">
        <v>31</v>
      </c>
      <c r="H188">
        <v>39</v>
      </c>
      <c r="I188">
        <v>39</v>
      </c>
      <c r="J188">
        <v>42</v>
      </c>
      <c r="K188">
        <v>48</v>
      </c>
      <c r="L188">
        <v>35</v>
      </c>
      <c r="M188">
        <v>43</v>
      </c>
      <c r="N188" s="57">
        <v>51</v>
      </c>
    </row>
    <row r="189" spans="1:14" x14ac:dyDescent="0.3">
      <c r="A189">
        <v>4</v>
      </c>
      <c r="B189">
        <v>3</v>
      </c>
      <c r="C189">
        <v>3</v>
      </c>
      <c r="D189">
        <v>3</v>
      </c>
      <c r="E189">
        <v>3</v>
      </c>
      <c r="F189">
        <v>3</v>
      </c>
      <c r="G189">
        <v>2</v>
      </c>
      <c r="H189">
        <v>3</v>
      </c>
      <c r="I189">
        <v>3</v>
      </c>
      <c r="J189">
        <v>3</v>
      </c>
      <c r="K189">
        <v>6</v>
      </c>
      <c r="L189">
        <v>4</v>
      </c>
      <c r="M189">
        <v>2</v>
      </c>
      <c r="N189" s="57">
        <v>6</v>
      </c>
    </row>
    <row r="190" spans="1:14" x14ac:dyDescent="0.3">
      <c r="A190">
        <v>5</v>
      </c>
      <c r="B190">
        <v>7</v>
      </c>
      <c r="C190">
        <v>7</v>
      </c>
      <c r="D190">
        <v>7</v>
      </c>
      <c r="E190">
        <v>7</v>
      </c>
      <c r="F190">
        <v>7</v>
      </c>
      <c r="G190">
        <v>6</v>
      </c>
      <c r="H190">
        <v>5</v>
      </c>
      <c r="I190">
        <v>13</v>
      </c>
      <c r="J190">
        <v>11</v>
      </c>
      <c r="K190">
        <v>11</v>
      </c>
      <c r="L190">
        <v>14</v>
      </c>
      <c r="M190">
        <v>12</v>
      </c>
      <c r="N190" s="57">
        <v>9</v>
      </c>
    </row>
    <row r="191" spans="1:14" x14ac:dyDescent="0.3">
      <c r="A191">
        <v>6</v>
      </c>
      <c r="B191">
        <v>6</v>
      </c>
      <c r="C191">
        <v>6</v>
      </c>
      <c r="D191">
        <v>6</v>
      </c>
      <c r="E191">
        <v>6</v>
      </c>
      <c r="F191">
        <v>6</v>
      </c>
      <c r="G191">
        <v>6</v>
      </c>
      <c r="H191">
        <v>6</v>
      </c>
      <c r="I191">
        <v>15</v>
      </c>
      <c r="J191">
        <v>10</v>
      </c>
      <c r="K191">
        <v>11</v>
      </c>
      <c r="L191">
        <v>15</v>
      </c>
      <c r="M191">
        <v>10</v>
      </c>
      <c r="N191" s="57">
        <v>11</v>
      </c>
    </row>
    <row r="192" spans="1:14" x14ac:dyDescent="0.3">
      <c r="A192">
        <v>7</v>
      </c>
      <c r="B192">
        <v>3</v>
      </c>
      <c r="C192">
        <v>3</v>
      </c>
      <c r="D192">
        <v>3</v>
      </c>
      <c r="E192">
        <v>3</v>
      </c>
      <c r="F192">
        <v>3</v>
      </c>
      <c r="G192">
        <v>3</v>
      </c>
      <c r="H192">
        <v>3</v>
      </c>
      <c r="I192">
        <v>7</v>
      </c>
      <c r="J192">
        <v>6</v>
      </c>
      <c r="K192">
        <v>8</v>
      </c>
      <c r="L192">
        <v>7</v>
      </c>
      <c r="M192">
        <v>6</v>
      </c>
      <c r="N192" s="57">
        <v>8</v>
      </c>
    </row>
    <row r="193" spans="1:14" x14ac:dyDescent="0.3">
      <c r="A193">
        <v>8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8</v>
      </c>
      <c r="J193">
        <v>7</v>
      </c>
      <c r="K193">
        <v>9</v>
      </c>
      <c r="L193">
        <v>8</v>
      </c>
      <c r="M193">
        <v>7</v>
      </c>
      <c r="N193" s="57">
        <v>9</v>
      </c>
    </row>
    <row r="194" spans="1:14" x14ac:dyDescent="0.3">
      <c r="A194">
        <v>2</v>
      </c>
      <c r="B194">
        <v>6</v>
      </c>
      <c r="C194">
        <v>5</v>
      </c>
      <c r="D194">
        <v>4</v>
      </c>
      <c r="E194">
        <v>3</v>
      </c>
      <c r="F194">
        <v>4</v>
      </c>
      <c r="G194">
        <v>2</v>
      </c>
      <c r="H194">
        <v>2</v>
      </c>
      <c r="I194">
        <v>5</v>
      </c>
      <c r="J194">
        <v>4</v>
      </c>
      <c r="K194">
        <v>3</v>
      </c>
      <c r="L194">
        <v>6</v>
      </c>
      <c r="M194">
        <v>3</v>
      </c>
      <c r="N194" s="57">
        <v>3</v>
      </c>
    </row>
    <row r="195" spans="1:14" x14ac:dyDescent="0.3">
      <c r="A195">
        <v>3</v>
      </c>
      <c r="B195">
        <v>40</v>
      </c>
      <c r="C195">
        <v>36</v>
      </c>
      <c r="D195">
        <v>35</v>
      </c>
      <c r="E195">
        <v>33</v>
      </c>
      <c r="F195">
        <v>32</v>
      </c>
      <c r="G195">
        <v>33</v>
      </c>
      <c r="H195">
        <v>29</v>
      </c>
      <c r="I195">
        <v>43</v>
      </c>
      <c r="J195">
        <v>39</v>
      </c>
      <c r="K195">
        <v>38</v>
      </c>
      <c r="L195">
        <v>43</v>
      </c>
      <c r="M195">
        <v>41</v>
      </c>
      <c r="N195" s="57">
        <v>36</v>
      </c>
    </row>
    <row r="196" spans="1:14" x14ac:dyDescent="0.3">
      <c r="A196">
        <v>4</v>
      </c>
      <c r="B196">
        <v>9</v>
      </c>
      <c r="C196">
        <v>9</v>
      </c>
      <c r="D196">
        <v>9</v>
      </c>
      <c r="E196">
        <v>9</v>
      </c>
      <c r="F196">
        <v>7</v>
      </c>
      <c r="G196">
        <v>9</v>
      </c>
      <c r="H196">
        <v>8</v>
      </c>
      <c r="I196">
        <v>11</v>
      </c>
      <c r="J196">
        <v>14</v>
      </c>
      <c r="K196">
        <v>11</v>
      </c>
      <c r="L196">
        <v>9</v>
      </c>
      <c r="M196">
        <v>16</v>
      </c>
      <c r="N196" s="57">
        <v>11</v>
      </c>
    </row>
    <row r="197" spans="1:14" x14ac:dyDescent="0.3">
      <c r="A197">
        <v>5</v>
      </c>
      <c r="B197">
        <v>6</v>
      </c>
      <c r="C197">
        <v>6</v>
      </c>
      <c r="D197">
        <v>6</v>
      </c>
      <c r="E197">
        <v>6</v>
      </c>
      <c r="F197">
        <v>5</v>
      </c>
      <c r="G197">
        <v>6</v>
      </c>
      <c r="H197">
        <v>5</v>
      </c>
      <c r="I197">
        <v>10</v>
      </c>
      <c r="J197">
        <v>9</v>
      </c>
      <c r="K197">
        <v>11</v>
      </c>
      <c r="L197">
        <v>9</v>
      </c>
      <c r="M197">
        <v>11</v>
      </c>
      <c r="N197" s="57">
        <v>10</v>
      </c>
    </row>
    <row r="198" spans="1:14" x14ac:dyDescent="0.3">
      <c r="A198">
        <v>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3</v>
      </c>
      <c r="J198">
        <v>5</v>
      </c>
      <c r="K198">
        <v>4</v>
      </c>
      <c r="L198">
        <v>3</v>
      </c>
      <c r="M198">
        <v>5</v>
      </c>
      <c r="N198" s="57">
        <v>4</v>
      </c>
    </row>
    <row r="199" spans="1:14" x14ac:dyDescent="0.3">
      <c r="A199">
        <v>7</v>
      </c>
      <c r="B199">
        <v>5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12</v>
      </c>
      <c r="J199">
        <v>10</v>
      </c>
      <c r="K199">
        <v>13</v>
      </c>
      <c r="L199">
        <v>12</v>
      </c>
      <c r="M199">
        <v>10</v>
      </c>
      <c r="N199" s="57">
        <v>13</v>
      </c>
    </row>
    <row r="200" spans="1:14" x14ac:dyDescent="0.3">
      <c r="A200">
        <v>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5</v>
      </c>
      <c r="J200">
        <v>5</v>
      </c>
      <c r="K200">
        <v>6</v>
      </c>
      <c r="L200">
        <v>5</v>
      </c>
      <c r="M200">
        <v>5</v>
      </c>
      <c r="N200" s="57">
        <v>6</v>
      </c>
    </row>
    <row r="201" spans="1:14" x14ac:dyDescent="0.3">
      <c r="A201">
        <v>2</v>
      </c>
      <c r="B201">
        <v>5</v>
      </c>
      <c r="C201">
        <v>2</v>
      </c>
      <c r="D201">
        <v>5</v>
      </c>
      <c r="E201">
        <v>3</v>
      </c>
      <c r="F201">
        <v>2</v>
      </c>
      <c r="G201">
        <v>1</v>
      </c>
      <c r="H201">
        <v>3</v>
      </c>
      <c r="I201">
        <v>2</v>
      </c>
      <c r="J201">
        <v>5</v>
      </c>
      <c r="K201">
        <v>3</v>
      </c>
      <c r="L201">
        <v>4</v>
      </c>
      <c r="M201">
        <v>1</v>
      </c>
      <c r="N201" s="57">
        <v>5</v>
      </c>
    </row>
    <row r="202" spans="1:14" x14ac:dyDescent="0.3">
      <c r="A202">
        <v>3</v>
      </c>
      <c r="B202">
        <v>41</v>
      </c>
      <c r="C202">
        <v>35</v>
      </c>
      <c r="D202">
        <v>38</v>
      </c>
      <c r="E202">
        <v>35</v>
      </c>
      <c r="F202">
        <v>34</v>
      </c>
      <c r="G202">
        <v>35</v>
      </c>
      <c r="H202">
        <v>31</v>
      </c>
      <c r="I202">
        <v>41</v>
      </c>
      <c r="J202">
        <v>44</v>
      </c>
      <c r="K202">
        <v>38</v>
      </c>
      <c r="L202">
        <v>44</v>
      </c>
      <c r="M202">
        <v>42</v>
      </c>
      <c r="N202" s="57">
        <v>37</v>
      </c>
    </row>
    <row r="203" spans="1:14" x14ac:dyDescent="0.3">
      <c r="A203">
        <v>4</v>
      </c>
      <c r="B203">
        <v>9</v>
      </c>
      <c r="C203">
        <v>9</v>
      </c>
      <c r="D203">
        <v>9</v>
      </c>
      <c r="E203">
        <v>9</v>
      </c>
      <c r="F203">
        <v>9</v>
      </c>
      <c r="G203">
        <v>8</v>
      </c>
      <c r="H203">
        <v>9</v>
      </c>
      <c r="I203">
        <v>13</v>
      </c>
      <c r="J203">
        <v>12</v>
      </c>
      <c r="K203">
        <v>11</v>
      </c>
      <c r="L203">
        <v>13</v>
      </c>
      <c r="M203">
        <v>11</v>
      </c>
      <c r="N203" s="57">
        <v>12</v>
      </c>
    </row>
    <row r="204" spans="1:14" x14ac:dyDescent="0.3">
      <c r="A204">
        <v>5</v>
      </c>
      <c r="B204">
        <v>4</v>
      </c>
      <c r="C204">
        <v>4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5</v>
      </c>
      <c r="J204">
        <v>7</v>
      </c>
      <c r="K204">
        <v>8</v>
      </c>
      <c r="L204">
        <v>5</v>
      </c>
      <c r="M204">
        <v>7</v>
      </c>
      <c r="N204" s="57">
        <v>8</v>
      </c>
    </row>
    <row r="205" spans="1:14" x14ac:dyDescent="0.3">
      <c r="A205">
        <v>6</v>
      </c>
      <c r="B205">
        <v>5</v>
      </c>
      <c r="C205">
        <v>5</v>
      </c>
      <c r="D205">
        <v>5</v>
      </c>
      <c r="E205">
        <v>5</v>
      </c>
      <c r="F205">
        <v>5</v>
      </c>
      <c r="G205">
        <v>5</v>
      </c>
      <c r="H205">
        <v>5</v>
      </c>
      <c r="I205">
        <v>10</v>
      </c>
      <c r="J205">
        <v>11</v>
      </c>
      <c r="K205">
        <v>9</v>
      </c>
      <c r="L205">
        <v>10</v>
      </c>
      <c r="M205">
        <v>11</v>
      </c>
      <c r="N205" s="57">
        <v>9</v>
      </c>
    </row>
    <row r="206" spans="1:14" x14ac:dyDescent="0.3">
      <c r="A206">
        <v>7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2</v>
      </c>
      <c r="J206">
        <v>2</v>
      </c>
      <c r="K206">
        <v>3</v>
      </c>
      <c r="L206">
        <v>2</v>
      </c>
      <c r="M206">
        <v>2</v>
      </c>
      <c r="N206" s="57">
        <v>3</v>
      </c>
    </row>
    <row r="207" spans="1:14" x14ac:dyDescent="0.3">
      <c r="A207">
        <v>8</v>
      </c>
      <c r="B207">
        <v>5</v>
      </c>
      <c r="C207">
        <v>5</v>
      </c>
      <c r="D207">
        <v>5</v>
      </c>
      <c r="E207">
        <v>5</v>
      </c>
      <c r="F207">
        <v>5</v>
      </c>
      <c r="G207">
        <v>5</v>
      </c>
      <c r="H207">
        <v>5</v>
      </c>
      <c r="I207">
        <v>12</v>
      </c>
      <c r="J207">
        <v>14</v>
      </c>
      <c r="K207">
        <v>14</v>
      </c>
      <c r="L207">
        <v>12</v>
      </c>
      <c r="M207">
        <v>14</v>
      </c>
      <c r="N207" s="57">
        <v>14</v>
      </c>
    </row>
    <row r="208" spans="1:14" x14ac:dyDescent="0.3">
      <c r="A208">
        <v>2</v>
      </c>
      <c r="B208">
        <v>5</v>
      </c>
      <c r="C208">
        <v>4</v>
      </c>
      <c r="D208">
        <v>3</v>
      </c>
      <c r="E208">
        <v>3</v>
      </c>
      <c r="F208">
        <v>1</v>
      </c>
      <c r="G208">
        <v>2</v>
      </c>
      <c r="H208">
        <v>4</v>
      </c>
      <c r="I208">
        <v>4</v>
      </c>
      <c r="J208">
        <v>3</v>
      </c>
      <c r="K208">
        <v>3</v>
      </c>
      <c r="L208">
        <v>1</v>
      </c>
      <c r="M208">
        <v>3</v>
      </c>
      <c r="N208" s="57">
        <v>6</v>
      </c>
    </row>
    <row r="209" spans="1:14" x14ac:dyDescent="0.3">
      <c r="A209">
        <v>3</v>
      </c>
      <c r="B209">
        <v>42</v>
      </c>
      <c r="C209">
        <v>35</v>
      </c>
      <c r="D209">
        <v>41</v>
      </c>
      <c r="E209">
        <v>37</v>
      </c>
      <c r="F209">
        <v>33</v>
      </c>
      <c r="G209">
        <v>33</v>
      </c>
      <c r="H209">
        <v>32</v>
      </c>
      <c r="I209">
        <v>40</v>
      </c>
      <c r="J209">
        <v>48</v>
      </c>
      <c r="K209">
        <v>38</v>
      </c>
      <c r="L209">
        <v>43</v>
      </c>
      <c r="M209">
        <v>42</v>
      </c>
      <c r="N209" s="57">
        <v>41</v>
      </c>
    </row>
    <row r="210" spans="1:14" x14ac:dyDescent="0.3">
      <c r="A210">
        <v>4</v>
      </c>
      <c r="B210">
        <v>8</v>
      </c>
      <c r="C210">
        <v>8</v>
      </c>
      <c r="D210">
        <v>8</v>
      </c>
      <c r="E210">
        <v>8</v>
      </c>
      <c r="F210">
        <v>8</v>
      </c>
      <c r="G210">
        <v>6</v>
      </c>
      <c r="H210">
        <v>7</v>
      </c>
      <c r="I210">
        <v>11</v>
      </c>
      <c r="J210">
        <v>11</v>
      </c>
      <c r="K210">
        <v>10</v>
      </c>
      <c r="L210">
        <v>12</v>
      </c>
      <c r="M210">
        <v>9</v>
      </c>
      <c r="N210" s="57">
        <v>11</v>
      </c>
    </row>
    <row r="211" spans="1:14" x14ac:dyDescent="0.3">
      <c r="A211">
        <v>5</v>
      </c>
      <c r="B211">
        <v>4</v>
      </c>
      <c r="C211">
        <v>4</v>
      </c>
      <c r="D211">
        <v>4</v>
      </c>
      <c r="E211">
        <v>4</v>
      </c>
      <c r="F211">
        <v>4</v>
      </c>
      <c r="G211">
        <v>3</v>
      </c>
      <c r="H211">
        <v>4</v>
      </c>
      <c r="I211">
        <v>6</v>
      </c>
      <c r="J211">
        <v>7</v>
      </c>
      <c r="K211">
        <v>7</v>
      </c>
      <c r="L211">
        <v>7</v>
      </c>
      <c r="M211">
        <v>6</v>
      </c>
      <c r="N211" s="57">
        <v>7</v>
      </c>
    </row>
    <row r="212" spans="1:14" x14ac:dyDescent="0.3">
      <c r="A212">
        <v>6</v>
      </c>
      <c r="B212">
        <v>4</v>
      </c>
      <c r="C212">
        <v>4</v>
      </c>
      <c r="D212">
        <v>4</v>
      </c>
      <c r="E212">
        <v>4</v>
      </c>
      <c r="F212">
        <v>4</v>
      </c>
      <c r="G212">
        <v>4</v>
      </c>
      <c r="H212">
        <v>4</v>
      </c>
      <c r="I212">
        <v>10</v>
      </c>
      <c r="J212">
        <v>7</v>
      </c>
      <c r="K212">
        <v>7</v>
      </c>
      <c r="L212">
        <v>10</v>
      </c>
      <c r="M212">
        <v>7</v>
      </c>
      <c r="N212" s="57">
        <v>7</v>
      </c>
    </row>
    <row r="213" spans="1:14" x14ac:dyDescent="0.3">
      <c r="A213">
        <v>7</v>
      </c>
      <c r="B213">
        <v>6</v>
      </c>
      <c r="C213">
        <v>6</v>
      </c>
      <c r="D213">
        <v>6</v>
      </c>
      <c r="E213">
        <v>6</v>
      </c>
      <c r="F213">
        <v>6</v>
      </c>
      <c r="G213">
        <v>6</v>
      </c>
      <c r="H213">
        <v>6</v>
      </c>
      <c r="I213">
        <v>12</v>
      </c>
      <c r="J213">
        <v>15</v>
      </c>
      <c r="K213">
        <v>15</v>
      </c>
      <c r="L213">
        <v>12</v>
      </c>
      <c r="M213">
        <v>15</v>
      </c>
      <c r="N213" s="57">
        <v>15</v>
      </c>
    </row>
    <row r="214" spans="1:14" x14ac:dyDescent="0.3">
      <c r="A214">
        <v>8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3</v>
      </c>
      <c r="J214">
        <v>3</v>
      </c>
      <c r="K214">
        <v>2</v>
      </c>
      <c r="L214">
        <v>3</v>
      </c>
      <c r="M214">
        <v>3</v>
      </c>
      <c r="N214" s="57">
        <v>2</v>
      </c>
    </row>
    <row r="215" spans="1:14" x14ac:dyDescent="0.3">
      <c r="A215">
        <v>2</v>
      </c>
      <c r="B215">
        <v>8</v>
      </c>
      <c r="C215">
        <v>3</v>
      </c>
      <c r="D215">
        <v>7</v>
      </c>
      <c r="E215">
        <v>6</v>
      </c>
      <c r="F215">
        <v>4</v>
      </c>
      <c r="G215">
        <v>5</v>
      </c>
      <c r="H215">
        <v>3</v>
      </c>
      <c r="I215">
        <v>3</v>
      </c>
      <c r="J215">
        <v>7</v>
      </c>
      <c r="K215">
        <v>6</v>
      </c>
      <c r="L215">
        <v>7</v>
      </c>
      <c r="M215">
        <v>6</v>
      </c>
      <c r="N215" s="57">
        <v>3</v>
      </c>
    </row>
    <row r="216" spans="1:14" x14ac:dyDescent="0.3">
      <c r="A216">
        <v>3</v>
      </c>
      <c r="B216">
        <v>35</v>
      </c>
      <c r="C216">
        <v>27</v>
      </c>
      <c r="D216">
        <v>32</v>
      </c>
      <c r="E216">
        <v>29</v>
      </c>
      <c r="F216">
        <v>28</v>
      </c>
      <c r="G216">
        <v>26</v>
      </c>
      <c r="H216">
        <v>26</v>
      </c>
      <c r="I216">
        <v>33</v>
      </c>
      <c r="J216">
        <v>40</v>
      </c>
      <c r="K216">
        <v>32</v>
      </c>
      <c r="L216">
        <v>37</v>
      </c>
      <c r="M216">
        <v>33</v>
      </c>
      <c r="N216" s="57">
        <v>35</v>
      </c>
    </row>
    <row r="217" spans="1:14" x14ac:dyDescent="0.3">
      <c r="A217">
        <v>4</v>
      </c>
      <c r="B217">
        <v>12</v>
      </c>
      <c r="C217">
        <v>12</v>
      </c>
      <c r="D217">
        <v>12</v>
      </c>
      <c r="E217">
        <v>12</v>
      </c>
      <c r="F217">
        <v>11</v>
      </c>
      <c r="G217">
        <v>12</v>
      </c>
      <c r="H217">
        <v>9</v>
      </c>
      <c r="I217">
        <v>16</v>
      </c>
      <c r="J217">
        <v>17</v>
      </c>
      <c r="K217">
        <v>15</v>
      </c>
      <c r="L217">
        <v>17</v>
      </c>
      <c r="M217">
        <v>19</v>
      </c>
      <c r="N217" s="57">
        <v>12</v>
      </c>
    </row>
    <row r="218" spans="1:14" x14ac:dyDescent="0.3">
      <c r="A218">
        <v>5</v>
      </c>
      <c r="B218">
        <v>4</v>
      </c>
      <c r="C218">
        <v>4</v>
      </c>
      <c r="D218">
        <v>4</v>
      </c>
      <c r="E218">
        <v>4</v>
      </c>
      <c r="F218">
        <v>4</v>
      </c>
      <c r="G218">
        <v>4</v>
      </c>
      <c r="H218">
        <v>4</v>
      </c>
      <c r="I218">
        <v>7</v>
      </c>
      <c r="J218">
        <v>6</v>
      </c>
      <c r="K218">
        <v>7</v>
      </c>
      <c r="L218">
        <v>7</v>
      </c>
      <c r="M218">
        <v>6</v>
      </c>
      <c r="N218" s="57">
        <v>7</v>
      </c>
    </row>
    <row r="219" spans="1:14" x14ac:dyDescent="0.3">
      <c r="A219">
        <v>6</v>
      </c>
      <c r="B219">
        <v>5</v>
      </c>
      <c r="C219">
        <v>5</v>
      </c>
      <c r="D219">
        <v>5</v>
      </c>
      <c r="E219">
        <v>5</v>
      </c>
      <c r="F219">
        <v>5</v>
      </c>
      <c r="G219">
        <v>5</v>
      </c>
      <c r="H219">
        <v>5</v>
      </c>
      <c r="I219">
        <v>12</v>
      </c>
      <c r="J219">
        <v>8</v>
      </c>
      <c r="K219">
        <v>10</v>
      </c>
      <c r="L219">
        <v>12</v>
      </c>
      <c r="M219">
        <v>8</v>
      </c>
      <c r="N219" s="57">
        <v>10</v>
      </c>
    </row>
    <row r="220" spans="1:14" x14ac:dyDescent="0.3">
      <c r="A220">
        <v>7</v>
      </c>
      <c r="B220">
        <v>3</v>
      </c>
      <c r="C220">
        <v>3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7</v>
      </c>
      <c r="J220">
        <v>7</v>
      </c>
      <c r="K220">
        <v>7</v>
      </c>
      <c r="L220">
        <v>7</v>
      </c>
      <c r="M220">
        <v>7</v>
      </c>
      <c r="N220" s="57">
        <v>7</v>
      </c>
    </row>
    <row r="221" spans="1:14" x14ac:dyDescent="0.3">
      <c r="A221">
        <v>8</v>
      </c>
      <c r="B221">
        <v>3</v>
      </c>
      <c r="C221">
        <v>3</v>
      </c>
      <c r="D221">
        <v>3</v>
      </c>
      <c r="E221">
        <v>3</v>
      </c>
      <c r="F221">
        <v>3</v>
      </c>
      <c r="G221">
        <v>3</v>
      </c>
      <c r="H221">
        <v>3</v>
      </c>
      <c r="I221">
        <v>9</v>
      </c>
      <c r="J221">
        <v>7</v>
      </c>
      <c r="K221">
        <v>8</v>
      </c>
      <c r="L221">
        <v>9</v>
      </c>
      <c r="M221">
        <v>7</v>
      </c>
      <c r="N221" s="57">
        <v>8</v>
      </c>
    </row>
    <row r="222" spans="1:14" x14ac:dyDescent="0.3">
      <c r="A222">
        <v>2</v>
      </c>
      <c r="B222">
        <v>5</v>
      </c>
      <c r="C222">
        <v>5</v>
      </c>
      <c r="D222">
        <v>3</v>
      </c>
      <c r="E222">
        <v>2</v>
      </c>
      <c r="F222">
        <v>3</v>
      </c>
      <c r="G222">
        <v>1</v>
      </c>
      <c r="H222">
        <v>3</v>
      </c>
      <c r="I222">
        <v>5</v>
      </c>
      <c r="J222">
        <v>3</v>
      </c>
      <c r="K222">
        <v>2</v>
      </c>
      <c r="L222">
        <v>4</v>
      </c>
      <c r="M222">
        <v>1</v>
      </c>
      <c r="N222" s="57">
        <v>5</v>
      </c>
    </row>
    <row r="223" spans="1:14" x14ac:dyDescent="0.3">
      <c r="A223">
        <v>3</v>
      </c>
      <c r="B223">
        <v>39</v>
      </c>
      <c r="C223">
        <v>34</v>
      </c>
      <c r="D223">
        <v>36</v>
      </c>
      <c r="E223">
        <v>35</v>
      </c>
      <c r="F223">
        <v>28</v>
      </c>
      <c r="G223">
        <v>33</v>
      </c>
      <c r="H223">
        <v>31</v>
      </c>
      <c r="I223">
        <v>38</v>
      </c>
      <c r="J223">
        <v>41</v>
      </c>
      <c r="K223">
        <v>38</v>
      </c>
      <c r="L223">
        <v>36</v>
      </c>
      <c r="M223">
        <v>44</v>
      </c>
      <c r="N223" s="57">
        <v>37</v>
      </c>
    </row>
    <row r="224" spans="1:14" x14ac:dyDescent="0.3">
      <c r="A224">
        <v>4</v>
      </c>
      <c r="B224">
        <v>12</v>
      </c>
      <c r="C224">
        <v>12</v>
      </c>
      <c r="D224">
        <v>12</v>
      </c>
      <c r="E224">
        <v>12</v>
      </c>
      <c r="F224">
        <v>11</v>
      </c>
      <c r="G224">
        <v>11</v>
      </c>
      <c r="H224">
        <v>8</v>
      </c>
      <c r="I224">
        <v>14</v>
      </c>
      <c r="J224">
        <v>18</v>
      </c>
      <c r="K224">
        <v>16</v>
      </c>
      <c r="L224">
        <v>18</v>
      </c>
      <c r="M224">
        <v>20</v>
      </c>
      <c r="N224" s="57">
        <v>10</v>
      </c>
    </row>
    <row r="225" spans="1:14" x14ac:dyDescent="0.3">
      <c r="A225">
        <v>5</v>
      </c>
      <c r="B225">
        <v>7</v>
      </c>
      <c r="C225">
        <v>7</v>
      </c>
      <c r="D225">
        <v>7</v>
      </c>
      <c r="E225">
        <v>7</v>
      </c>
      <c r="F225">
        <v>7</v>
      </c>
      <c r="G225">
        <v>7</v>
      </c>
      <c r="H225">
        <v>4</v>
      </c>
      <c r="I225">
        <v>13</v>
      </c>
      <c r="J225">
        <v>13</v>
      </c>
      <c r="K225">
        <v>9</v>
      </c>
      <c r="L225">
        <v>14</v>
      </c>
      <c r="M225">
        <v>16</v>
      </c>
      <c r="N225" s="57">
        <v>5</v>
      </c>
    </row>
    <row r="226" spans="1:14" x14ac:dyDescent="0.3">
      <c r="A226">
        <v>6</v>
      </c>
      <c r="B226">
        <v>5</v>
      </c>
      <c r="C226">
        <v>5</v>
      </c>
      <c r="D226">
        <v>5</v>
      </c>
      <c r="E226">
        <v>5</v>
      </c>
      <c r="F226">
        <v>5</v>
      </c>
      <c r="G226">
        <v>5</v>
      </c>
      <c r="H226">
        <v>5</v>
      </c>
      <c r="I226">
        <v>13</v>
      </c>
      <c r="J226">
        <v>8</v>
      </c>
      <c r="K226">
        <v>9</v>
      </c>
      <c r="L226">
        <v>13</v>
      </c>
      <c r="M226">
        <v>8</v>
      </c>
      <c r="N226" s="57">
        <v>9</v>
      </c>
    </row>
    <row r="227" spans="1:14" x14ac:dyDescent="0.3">
      <c r="A227">
        <v>7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2</v>
      </c>
      <c r="J227">
        <v>2</v>
      </c>
      <c r="K227">
        <v>3</v>
      </c>
      <c r="L227">
        <v>2</v>
      </c>
      <c r="M227">
        <v>2</v>
      </c>
      <c r="N227" s="57">
        <v>3</v>
      </c>
    </row>
    <row r="228" spans="1:14" x14ac:dyDescent="0.3">
      <c r="A228">
        <v>8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3</v>
      </c>
      <c r="J228">
        <v>2</v>
      </c>
      <c r="K228">
        <v>3</v>
      </c>
      <c r="L228">
        <v>3</v>
      </c>
      <c r="M228">
        <v>2</v>
      </c>
      <c r="N228" s="57">
        <v>3</v>
      </c>
    </row>
    <row r="229" spans="1:14" x14ac:dyDescent="0.3">
      <c r="A229">
        <v>2</v>
      </c>
      <c r="B229">
        <v>7</v>
      </c>
      <c r="C229">
        <v>4</v>
      </c>
      <c r="D229">
        <v>4</v>
      </c>
      <c r="E229">
        <v>6</v>
      </c>
      <c r="F229">
        <v>4</v>
      </c>
      <c r="G229">
        <v>3</v>
      </c>
      <c r="H229">
        <v>5</v>
      </c>
      <c r="I229">
        <v>4</v>
      </c>
      <c r="J229">
        <v>4</v>
      </c>
      <c r="K229">
        <v>6</v>
      </c>
      <c r="L229">
        <v>5</v>
      </c>
      <c r="M229">
        <v>3</v>
      </c>
      <c r="N229" s="57">
        <v>6</v>
      </c>
    </row>
    <row r="230" spans="1:14" x14ac:dyDescent="0.3">
      <c r="A230">
        <v>3</v>
      </c>
      <c r="B230">
        <v>39</v>
      </c>
      <c r="C230">
        <v>35</v>
      </c>
      <c r="D230">
        <v>37</v>
      </c>
      <c r="E230">
        <v>37</v>
      </c>
      <c r="F230">
        <v>32</v>
      </c>
      <c r="G230">
        <v>34</v>
      </c>
      <c r="H230">
        <v>29</v>
      </c>
      <c r="I230">
        <v>37</v>
      </c>
      <c r="J230">
        <v>41</v>
      </c>
      <c r="K230">
        <v>39</v>
      </c>
      <c r="L230">
        <v>42</v>
      </c>
      <c r="M230">
        <v>41</v>
      </c>
      <c r="N230" s="57">
        <v>34</v>
      </c>
    </row>
    <row r="231" spans="1:14" x14ac:dyDescent="0.3">
      <c r="A231">
        <v>4</v>
      </c>
      <c r="B231">
        <v>11</v>
      </c>
      <c r="C231">
        <v>11</v>
      </c>
      <c r="D231">
        <v>11</v>
      </c>
      <c r="E231">
        <v>11</v>
      </c>
      <c r="F231">
        <v>11</v>
      </c>
      <c r="G231">
        <v>10</v>
      </c>
      <c r="H231">
        <v>10</v>
      </c>
      <c r="I231">
        <v>16</v>
      </c>
      <c r="J231">
        <v>14</v>
      </c>
      <c r="K231">
        <v>14</v>
      </c>
      <c r="L231">
        <v>17</v>
      </c>
      <c r="M231">
        <v>13</v>
      </c>
      <c r="N231" s="57">
        <v>14</v>
      </c>
    </row>
    <row r="232" spans="1:14" x14ac:dyDescent="0.3">
      <c r="A232">
        <v>5</v>
      </c>
      <c r="B232">
        <v>5</v>
      </c>
      <c r="C232">
        <v>5</v>
      </c>
      <c r="D232">
        <v>5</v>
      </c>
      <c r="E232">
        <v>5</v>
      </c>
      <c r="F232">
        <v>4</v>
      </c>
      <c r="G232">
        <v>5</v>
      </c>
      <c r="H232">
        <v>4</v>
      </c>
      <c r="I232">
        <v>9</v>
      </c>
      <c r="J232">
        <v>10</v>
      </c>
      <c r="K232">
        <v>6</v>
      </c>
      <c r="L232">
        <v>8</v>
      </c>
      <c r="M232">
        <v>11</v>
      </c>
      <c r="N232" s="57">
        <v>6</v>
      </c>
    </row>
    <row r="233" spans="1:14" x14ac:dyDescent="0.3">
      <c r="A233">
        <v>6</v>
      </c>
      <c r="B233">
        <v>4</v>
      </c>
      <c r="C233">
        <v>4</v>
      </c>
      <c r="D233">
        <v>4</v>
      </c>
      <c r="E233">
        <v>4</v>
      </c>
      <c r="F233">
        <v>4</v>
      </c>
      <c r="G233">
        <v>4</v>
      </c>
      <c r="H233">
        <v>4</v>
      </c>
      <c r="I233">
        <v>8</v>
      </c>
      <c r="J233">
        <v>6</v>
      </c>
      <c r="K233">
        <v>10</v>
      </c>
      <c r="L233">
        <v>8</v>
      </c>
      <c r="M233">
        <v>6</v>
      </c>
      <c r="N233" s="57">
        <v>10</v>
      </c>
    </row>
    <row r="234" spans="1:14" x14ac:dyDescent="0.3">
      <c r="A234">
        <v>7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3</v>
      </c>
      <c r="I234">
        <v>7</v>
      </c>
      <c r="J234">
        <v>6</v>
      </c>
      <c r="K234">
        <v>8</v>
      </c>
      <c r="L234">
        <v>7</v>
      </c>
      <c r="M234">
        <v>6</v>
      </c>
      <c r="N234" s="57">
        <v>8</v>
      </c>
    </row>
    <row r="235" spans="1:14" x14ac:dyDescent="0.3">
      <c r="A235">
        <v>8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2</v>
      </c>
      <c r="J235">
        <v>3</v>
      </c>
      <c r="K235">
        <v>3</v>
      </c>
      <c r="L235">
        <v>2</v>
      </c>
      <c r="M235">
        <v>3</v>
      </c>
      <c r="N235" s="57">
        <v>3</v>
      </c>
    </row>
    <row r="236" spans="1:14" x14ac:dyDescent="0.3">
      <c r="A236">
        <v>2</v>
      </c>
      <c r="B236">
        <v>5</v>
      </c>
      <c r="C236">
        <v>4</v>
      </c>
      <c r="D236">
        <v>2</v>
      </c>
      <c r="E236">
        <v>4</v>
      </c>
      <c r="F236">
        <v>3</v>
      </c>
      <c r="G236">
        <v>1</v>
      </c>
      <c r="H236">
        <v>2</v>
      </c>
      <c r="I236">
        <v>4</v>
      </c>
      <c r="J236">
        <v>2</v>
      </c>
      <c r="K236">
        <v>4</v>
      </c>
      <c r="L236">
        <v>5</v>
      </c>
      <c r="M236">
        <v>1</v>
      </c>
      <c r="N236" s="57">
        <v>4</v>
      </c>
    </row>
    <row r="237" spans="1:14" x14ac:dyDescent="0.3">
      <c r="A237">
        <v>3</v>
      </c>
      <c r="B237">
        <v>40</v>
      </c>
      <c r="C237">
        <v>37</v>
      </c>
      <c r="D237">
        <v>36</v>
      </c>
      <c r="E237">
        <v>34</v>
      </c>
      <c r="F237">
        <v>29</v>
      </c>
      <c r="G237">
        <v>34</v>
      </c>
      <c r="H237">
        <v>29</v>
      </c>
      <c r="I237">
        <v>43</v>
      </c>
      <c r="J237">
        <v>39</v>
      </c>
      <c r="K237">
        <v>38</v>
      </c>
      <c r="L237">
        <v>40</v>
      </c>
      <c r="M237">
        <v>45</v>
      </c>
      <c r="N237" s="57">
        <v>35</v>
      </c>
    </row>
    <row r="238" spans="1:14" x14ac:dyDescent="0.3">
      <c r="A238">
        <v>4</v>
      </c>
      <c r="B238">
        <v>10</v>
      </c>
      <c r="C238">
        <v>10</v>
      </c>
      <c r="D238">
        <v>10</v>
      </c>
      <c r="E238">
        <v>10</v>
      </c>
      <c r="F238">
        <v>7</v>
      </c>
      <c r="G238">
        <v>9</v>
      </c>
      <c r="H238">
        <v>9</v>
      </c>
      <c r="I238">
        <v>13</v>
      </c>
      <c r="J238">
        <v>14</v>
      </c>
      <c r="K238">
        <v>13</v>
      </c>
      <c r="L238">
        <v>10</v>
      </c>
      <c r="M238">
        <v>14</v>
      </c>
      <c r="N238" s="57">
        <v>16</v>
      </c>
    </row>
    <row r="239" spans="1:14" x14ac:dyDescent="0.3">
      <c r="A239">
        <v>5</v>
      </c>
      <c r="B239">
        <v>4</v>
      </c>
      <c r="C239">
        <v>4</v>
      </c>
      <c r="D239">
        <v>4</v>
      </c>
      <c r="E239">
        <v>4</v>
      </c>
      <c r="F239">
        <v>4</v>
      </c>
      <c r="G239">
        <v>4</v>
      </c>
      <c r="H239">
        <v>2</v>
      </c>
      <c r="I239">
        <v>6</v>
      </c>
      <c r="J239">
        <v>7</v>
      </c>
      <c r="K239">
        <v>7</v>
      </c>
      <c r="L239">
        <v>8</v>
      </c>
      <c r="M239">
        <v>9</v>
      </c>
      <c r="N239" s="57">
        <v>3</v>
      </c>
    </row>
    <row r="240" spans="1:14" x14ac:dyDescent="0.3">
      <c r="A240">
        <v>6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4</v>
      </c>
      <c r="J240">
        <v>3</v>
      </c>
      <c r="K240">
        <v>5</v>
      </c>
      <c r="L240">
        <v>4</v>
      </c>
      <c r="M240">
        <v>3</v>
      </c>
      <c r="N240" s="57">
        <v>5</v>
      </c>
    </row>
    <row r="241" spans="1:14" x14ac:dyDescent="0.3">
      <c r="A241">
        <v>7</v>
      </c>
      <c r="B241">
        <v>4</v>
      </c>
      <c r="C241">
        <v>4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9</v>
      </c>
      <c r="J241">
        <v>10</v>
      </c>
      <c r="K241">
        <v>9</v>
      </c>
      <c r="L241">
        <v>9</v>
      </c>
      <c r="M241">
        <v>10</v>
      </c>
      <c r="N241" s="57">
        <v>9</v>
      </c>
    </row>
    <row r="242" spans="1:14" x14ac:dyDescent="0.3">
      <c r="A242">
        <v>8</v>
      </c>
      <c r="B242">
        <v>5</v>
      </c>
      <c r="C242">
        <v>5</v>
      </c>
      <c r="D242">
        <v>5</v>
      </c>
      <c r="E242">
        <v>5</v>
      </c>
      <c r="F242">
        <v>5</v>
      </c>
      <c r="G242">
        <v>5</v>
      </c>
      <c r="H242">
        <v>5</v>
      </c>
      <c r="I242">
        <v>13</v>
      </c>
      <c r="J242">
        <v>14</v>
      </c>
      <c r="K242">
        <v>13</v>
      </c>
      <c r="L242">
        <v>13</v>
      </c>
      <c r="M242">
        <v>14</v>
      </c>
      <c r="N242" s="57">
        <v>13</v>
      </c>
    </row>
    <row r="243" spans="1:14" x14ac:dyDescent="0.3">
      <c r="A243">
        <v>2</v>
      </c>
      <c r="B243">
        <v>6</v>
      </c>
      <c r="C243">
        <v>4</v>
      </c>
      <c r="D243">
        <v>4</v>
      </c>
      <c r="E243">
        <v>4</v>
      </c>
      <c r="F243">
        <v>2</v>
      </c>
      <c r="G243">
        <v>3</v>
      </c>
      <c r="H243">
        <v>5</v>
      </c>
      <c r="I243">
        <v>4</v>
      </c>
      <c r="J243">
        <v>4</v>
      </c>
      <c r="K243">
        <v>4</v>
      </c>
      <c r="L243">
        <v>2</v>
      </c>
      <c r="M243">
        <v>3</v>
      </c>
      <c r="N243" s="57">
        <v>7</v>
      </c>
    </row>
    <row r="244" spans="1:14" x14ac:dyDescent="0.3">
      <c r="A244">
        <v>3</v>
      </c>
      <c r="B244">
        <v>39</v>
      </c>
      <c r="C244">
        <v>37</v>
      </c>
      <c r="D244">
        <v>37</v>
      </c>
      <c r="E244">
        <v>37</v>
      </c>
      <c r="F244">
        <v>31</v>
      </c>
      <c r="G244">
        <v>34</v>
      </c>
      <c r="H244">
        <v>31</v>
      </c>
      <c r="I244">
        <v>39</v>
      </c>
      <c r="J244">
        <v>39</v>
      </c>
      <c r="K244">
        <v>39</v>
      </c>
      <c r="L244">
        <v>39</v>
      </c>
      <c r="M244">
        <v>42</v>
      </c>
      <c r="N244" s="57">
        <v>36</v>
      </c>
    </row>
    <row r="245" spans="1:14" x14ac:dyDescent="0.3">
      <c r="A245">
        <v>4</v>
      </c>
      <c r="B245">
        <v>11</v>
      </c>
      <c r="C245">
        <v>11</v>
      </c>
      <c r="D245">
        <v>11</v>
      </c>
      <c r="E245">
        <v>11</v>
      </c>
      <c r="F245">
        <v>9</v>
      </c>
      <c r="G245">
        <v>11</v>
      </c>
      <c r="H245">
        <v>8</v>
      </c>
      <c r="I245">
        <v>16</v>
      </c>
      <c r="J245">
        <v>13</v>
      </c>
      <c r="K245">
        <v>15</v>
      </c>
      <c r="L245">
        <v>15</v>
      </c>
      <c r="M245">
        <v>17</v>
      </c>
      <c r="N245" s="57">
        <v>12</v>
      </c>
    </row>
    <row r="246" spans="1:14" x14ac:dyDescent="0.3">
      <c r="A246">
        <v>5</v>
      </c>
      <c r="B246">
        <v>7</v>
      </c>
      <c r="C246">
        <v>7</v>
      </c>
      <c r="D246">
        <v>7</v>
      </c>
      <c r="E246">
        <v>7</v>
      </c>
      <c r="F246">
        <v>6</v>
      </c>
      <c r="G246">
        <v>6</v>
      </c>
      <c r="H246">
        <v>7</v>
      </c>
      <c r="I246">
        <v>13</v>
      </c>
      <c r="J246">
        <v>11</v>
      </c>
      <c r="K246">
        <v>11</v>
      </c>
      <c r="L246">
        <v>12</v>
      </c>
      <c r="M246">
        <v>10</v>
      </c>
      <c r="N246" s="57">
        <v>13</v>
      </c>
    </row>
    <row r="247" spans="1:14" x14ac:dyDescent="0.3">
      <c r="A247">
        <v>6</v>
      </c>
      <c r="B247">
        <v>4</v>
      </c>
      <c r="C247">
        <v>4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9</v>
      </c>
      <c r="J247">
        <v>8</v>
      </c>
      <c r="K247">
        <v>7</v>
      </c>
      <c r="L247">
        <v>9</v>
      </c>
      <c r="M247">
        <v>8</v>
      </c>
      <c r="N247" s="57">
        <v>7</v>
      </c>
    </row>
    <row r="248" spans="1:14" x14ac:dyDescent="0.3">
      <c r="A248">
        <v>7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6</v>
      </c>
      <c r="J248">
        <v>4</v>
      </c>
      <c r="K248">
        <v>4</v>
      </c>
      <c r="L248">
        <v>6</v>
      </c>
      <c r="M248">
        <v>4</v>
      </c>
      <c r="N248" s="57">
        <v>4</v>
      </c>
    </row>
    <row r="249" spans="1:14" x14ac:dyDescent="0.3">
      <c r="A249">
        <v>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3</v>
      </c>
      <c r="J249">
        <v>2</v>
      </c>
      <c r="K249">
        <v>3</v>
      </c>
      <c r="L249">
        <v>3</v>
      </c>
      <c r="M249">
        <v>2</v>
      </c>
      <c r="N249" s="57">
        <v>3</v>
      </c>
    </row>
    <row r="250" spans="1:14" x14ac:dyDescent="0.3">
      <c r="A250">
        <v>2</v>
      </c>
      <c r="B250">
        <v>3</v>
      </c>
      <c r="C250">
        <v>3</v>
      </c>
      <c r="D250">
        <v>1</v>
      </c>
      <c r="E250">
        <v>2</v>
      </c>
      <c r="F250">
        <v>2</v>
      </c>
      <c r="G250">
        <v>0</v>
      </c>
      <c r="H250">
        <v>3</v>
      </c>
      <c r="I250">
        <v>3</v>
      </c>
      <c r="J250">
        <v>1</v>
      </c>
      <c r="K250">
        <v>2</v>
      </c>
      <c r="L250">
        <v>2</v>
      </c>
      <c r="M250">
        <v>0</v>
      </c>
      <c r="N250" s="57">
        <v>4</v>
      </c>
    </row>
    <row r="251" spans="1:14" x14ac:dyDescent="0.3">
      <c r="A251">
        <v>3</v>
      </c>
      <c r="B251">
        <v>36</v>
      </c>
      <c r="C251">
        <v>30</v>
      </c>
      <c r="D251">
        <v>33</v>
      </c>
      <c r="E251">
        <v>32</v>
      </c>
      <c r="F251">
        <v>28</v>
      </c>
      <c r="G251">
        <v>30</v>
      </c>
      <c r="H251">
        <v>29</v>
      </c>
      <c r="I251">
        <v>34</v>
      </c>
      <c r="J251">
        <v>39</v>
      </c>
      <c r="K251">
        <v>35</v>
      </c>
      <c r="L251">
        <v>35</v>
      </c>
      <c r="M251">
        <v>38</v>
      </c>
      <c r="N251" s="57">
        <v>35</v>
      </c>
    </row>
    <row r="252" spans="1:14" x14ac:dyDescent="0.3">
      <c r="A252">
        <v>4</v>
      </c>
      <c r="B252">
        <v>11</v>
      </c>
      <c r="C252">
        <v>11</v>
      </c>
      <c r="D252">
        <v>11</v>
      </c>
      <c r="E252">
        <v>11</v>
      </c>
      <c r="F252">
        <v>10</v>
      </c>
      <c r="G252">
        <v>7</v>
      </c>
      <c r="H252">
        <v>10</v>
      </c>
      <c r="I252">
        <v>16</v>
      </c>
      <c r="J252">
        <v>15</v>
      </c>
      <c r="K252">
        <v>13</v>
      </c>
      <c r="L252">
        <v>17</v>
      </c>
      <c r="M252">
        <v>12</v>
      </c>
      <c r="N252" s="57">
        <v>15</v>
      </c>
    </row>
    <row r="253" spans="1:14" x14ac:dyDescent="0.3">
      <c r="A253">
        <v>5</v>
      </c>
      <c r="B253">
        <v>13</v>
      </c>
      <c r="C253">
        <v>13</v>
      </c>
      <c r="D253">
        <v>13</v>
      </c>
      <c r="E253">
        <v>13</v>
      </c>
      <c r="F253">
        <v>10</v>
      </c>
      <c r="G253">
        <v>10</v>
      </c>
      <c r="H253">
        <v>11</v>
      </c>
      <c r="I253">
        <v>20</v>
      </c>
      <c r="J253">
        <v>21</v>
      </c>
      <c r="K253">
        <v>24</v>
      </c>
      <c r="L253">
        <v>20</v>
      </c>
      <c r="M253">
        <v>20</v>
      </c>
      <c r="N253" s="57">
        <v>25</v>
      </c>
    </row>
    <row r="254" spans="1:14" x14ac:dyDescent="0.3">
      <c r="A254">
        <v>6</v>
      </c>
      <c r="B254">
        <v>3</v>
      </c>
      <c r="C254">
        <v>3</v>
      </c>
      <c r="D254">
        <v>3</v>
      </c>
      <c r="E254">
        <v>3</v>
      </c>
      <c r="F254">
        <v>3</v>
      </c>
      <c r="G254">
        <v>3</v>
      </c>
      <c r="H254">
        <v>3</v>
      </c>
      <c r="I254">
        <v>6</v>
      </c>
      <c r="J254">
        <v>6</v>
      </c>
      <c r="K254">
        <v>6</v>
      </c>
      <c r="L254">
        <v>6</v>
      </c>
      <c r="M254">
        <v>6</v>
      </c>
      <c r="N254" s="57">
        <v>6</v>
      </c>
    </row>
    <row r="255" spans="1:14" x14ac:dyDescent="0.3">
      <c r="A255">
        <v>7</v>
      </c>
      <c r="B255">
        <v>3</v>
      </c>
      <c r="C255">
        <v>3</v>
      </c>
      <c r="D255">
        <v>3</v>
      </c>
      <c r="E255">
        <v>3</v>
      </c>
      <c r="F255">
        <v>3</v>
      </c>
      <c r="G255">
        <v>3</v>
      </c>
      <c r="H255">
        <v>3</v>
      </c>
      <c r="I255">
        <v>6</v>
      </c>
      <c r="J255">
        <v>6</v>
      </c>
      <c r="K255">
        <v>9</v>
      </c>
      <c r="L255">
        <v>6</v>
      </c>
      <c r="M255">
        <v>6</v>
      </c>
      <c r="N255" s="57">
        <v>9</v>
      </c>
    </row>
    <row r="256" spans="1:14" x14ac:dyDescent="0.3">
      <c r="A256">
        <v>8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2</v>
      </c>
      <c r="J256">
        <v>3</v>
      </c>
      <c r="K256">
        <v>3</v>
      </c>
      <c r="L256">
        <v>2</v>
      </c>
      <c r="M256">
        <v>3</v>
      </c>
      <c r="N256" s="57">
        <v>3</v>
      </c>
    </row>
    <row r="257" spans="1:14" x14ac:dyDescent="0.3">
      <c r="A257">
        <v>2</v>
      </c>
      <c r="B257">
        <v>5</v>
      </c>
      <c r="C257">
        <v>2</v>
      </c>
      <c r="D257">
        <v>4</v>
      </c>
      <c r="E257">
        <v>4</v>
      </c>
      <c r="F257">
        <v>1</v>
      </c>
      <c r="G257">
        <v>2</v>
      </c>
      <c r="H257">
        <v>5</v>
      </c>
      <c r="I257">
        <v>2</v>
      </c>
      <c r="J257">
        <v>4</v>
      </c>
      <c r="K257">
        <v>4</v>
      </c>
      <c r="L257">
        <v>1</v>
      </c>
      <c r="M257">
        <v>2</v>
      </c>
      <c r="N257" s="57">
        <v>7</v>
      </c>
    </row>
    <row r="258" spans="1:14" x14ac:dyDescent="0.3">
      <c r="A258">
        <v>3</v>
      </c>
      <c r="B258">
        <v>29</v>
      </c>
      <c r="C258">
        <v>27</v>
      </c>
      <c r="D258">
        <v>28</v>
      </c>
      <c r="E258">
        <v>26</v>
      </c>
      <c r="F258">
        <v>22</v>
      </c>
      <c r="G258">
        <v>25</v>
      </c>
      <c r="H258">
        <v>22</v>
      </c>
      <c r="I258">
        <v>30</v>
      </c>
      <c r="J258">
        <v>30</v>
      </c>
      <c r="K258">
        <v>27</v>
      </c>
      <c r="L258">
        <v>29</v>
      </c>
      <c r="M258">
        <v>32</v>
      </c>
      <c r="N258" s="57">
        <v>26</v>
      </c>
    </row>
    <row r="259" spans="1:14" x14ac:dyDescent="0.3">
      <c r="A259">
        <v>4</v>
      </c>
      <c r="B259">
        <v>13</v>
      </c>
      <c r="C259">
        <v>13</v>
      </c>
      <c r="D259">
        <v>13</v>
      </c>
      <c r="E259">
        <v>13</v>
      </c>
      <c r="F259">
        <v>10</v>
      </c>
      <c r="G259">
        <v>11</v>
      </c>
      <c r="H259">
        <v>13</v>
      </c>
      <c r="I259">
        <v>16</v>
      </c>
      <c r="J259">
        <v>18</v>
      </c>
      <c r="K259">
        <v>18</v>
      </c>
      <c r="L259">
        <v>14</v>
      </c>
      <c r="M259">
        <v>17</v>
      </c>
      <c r="N259" s="57">
        <v>21</v>
      </c>
    </row>
    <row r="260" spans="1:14" x14ac:dyDescent="0.3">
      <c r="A260">
        <v>5</v>
      </c>
      <c r="B260">
        <v>11</v>
      </c>
      <c r="C260">
        <v>11</v>
      </c>
      <c r="D260">
        <v>11</v>
      </c>
      <c r="E260">
        <v>11</v>
      </c>
      <c r="F260">
        <v>9</v>
      </c>
      <c r="G260">
        <v>9</v>
      </c>
      <c r="H260">
        <v>9</v>
      </c>
      <c r="I260">
        <v>18</v>
      </c>
      <c r="J260">
        <v>21</v>
      </c>
      <c r="K260">
        <v>16</v>
      </c>
      <c r="L260">
        <v>19</v>
      </c>
      <c r="M260">
        <v>19</v>
      </c>
      <c r="N260" s="57">
        <v>17</v>
      </c>
    </row>
    <row r="261" spans="1:14" x14ac:dyDescent="0.3">
      <c r="A261">
        <v>6</v>
      </c>
      <c r="B261">
        <v>4</v>
      </c>
      <c r="C261">
        <v>4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7</v>
      </c>
      <c r="J261">
        <v>7</v>
      </c>
      <c r="K261">
        <v>10</v>
      </c>
      <c r="L261">
        <v>7</v>
      </c>
      <c r="M261">
        <v>7</v>
      </c>
      <c r="N261" s="57">
        <v>10</v>
      </c>
    </row>
    <row r="262" spans="1:14" x14ac:dyDescent="0.3">
      <c r="A262">
        <v>7</v>
      </c>
      <c r="B262">
        <v>7</v>
      </c>
      <c r="C262">
        <v>7</v>
      </c>
      <c r="D262">
        <v>7</v>
      </c>
      <c r="E262">
        <v>7</v>
      </c>
      <c r="F262">
        <v>7</v>
      </c>
      <c r="G262">
        <v>7</v>
      </c>
      <c r="H262">
        <v>7</v>
      </c>
      <c r="I262">
        <v>18</v>
      </c>
      <c r="J262">
        <v>16</v>
      </c>
      <c r="K262">
        <v>15</v>
      </c>
      <c r="L262">
        <v>18</v>
      </c>
      <c r="M262">
        <v>16</v>
      </c>
      <c r="N262" s="57">
        <v>15</v>
      </c>
    </row>
    <row r="263" spans="1:14" x14ac:dyDescent="0.3">
      <c r="A263">
        <v>8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3</v>
      </c>
      <c r="J263">
        <v>3</v>
      </c>
      <c r="K263">
        <v>2</v>
      </c>
      <c r="L263">
        <v>3</v>
      </c>
      <c r="M263">
        <v>3</v>
      </c>
      <c r="N263" s="57">
        <v>2</v>
      </c>
    </row>
    <row r="264" spans="1:14" x14ac:dyDescent="0.3">
      <c r="A264">
        <v>2</v>
      </c>
      <c r="B264">
        <v>3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 s="57">
        <v>2</v>
      </c>
    </row>
    <row r="265" spans="1:14" x14ac:dyDescent="0.3">
      <c r="A265">
        <v>3</v>
      </c>
      <c r="B265">
        <v>35</v>
      </c>
      <c r="C265">
        <v>33</v>
      </c>
      <c r="D265">
        <v>31</v>
      </c>
      <c r="E265">
        <v>32</v>
      </c>
      <c r="F265">
        <v>28</v>
      </c>
      <c r="G265">
        <v>31</v>
      </c>
      <c r="H265">
        <v>25</v>
      </c>
      <c r="I265">
        <v>36</v>
      </c>
      <c r="J265">
        <v>33</v>
      </c>
      <c r="K265">
        <v>36</v>
      </c>
      <c r="L265">
        <v>38</v>
      </c>
      <c r="M265">
        <v>38</v>
      </c>
      <c r="N265" s="57">
        <v>29</v>
      </c>
    </row>
    <row r="266" spans="1:14" x14ac:dyDescent="0.3">
      <c r="A266">
        <v>4</v>
      </c>
      <c r="B266">
        <v>19</v>
      </c>
      <c r="C266">
        <v>19</v>
      </c>
      <c r="D266">
        <v>19</v>
      </c>
      <c r="E266">
        <v>19</v>
      </c>
      <c r="F266">
        <v>18</v>
      </c>
      <c r="G266">
        <v>15</v>
      </c>
      <c r="H266">
        <v>17</v>
      </c>
      <c r="I266">
        <v>28</v>
      </c>
      <c r="J266">
        <v>24</v>
      </c>
      <c r="K266">
        <v>24</v>
      </c>
      <c r="L266">
        <v>29</v>
      </c>
      <c r="M266">
        <v>21</v>
      </c>
      <c r="N266" s="57">
        <v>26</v>
      </c>
    </row>
    <row r="267" spans="1:14" x14ac:dyDescent="0.3">
      <c r="A267">
        <v>5</v>
      </c>
      <c r="B267">
        <v>5</v>
      </c>
      <c r="C267">
        <v>5</v>
      </c>
      <c r="D267">
        <v>5</v>
      </c>
      <c r="E267">
        <v>5</v>
      </c>
      <c r="F267">
        <v>5</v>
      </c>
      <c r="G267">
        <v>3</v>
      </c>
      <c r="H267">
        <v>5</v>
      </c>
      <c r="I267">
        <v>7</v>
      </c>
      <c r="J267">
        <v>10</v>
      </c>
      <c r="K267">
        <v>8</v>
      </c>
      <c r="L267">
        <v>10</v>
      </c>
      <c r="M267">
        <v>6</v>
      </c>
      <c r="N267" s="57">
        <v>9</v>
      </c>
    </row>
    <row r="268" spans="1:14" x14ac:dyDescent="0.3">
      <c r="A268">
        <v>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3</v>
      </c>
      <c r="J268">
        <v>5</v>
      </c>
      <c r="K268">
        <v>4</v>
      </c>
      <c r="L268">
        <v>3</v>
      </c>
      <c r="M268">
        <v>5</v>
      </c>
      <c r="N268" s="57">
        <v>4</v>
      </c>
    </row>
    <row r="269" spans="1:14" x14ac:dyDescent="0.3">
      <c r="A269">
        <v>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5</v>
      </c>
      <c r="J269">
        <v>5</v>
      </c>
      <c r="K269">
        <v>4</v>
      </c>
      <c r="L269">
        <v>5</v>
      </c>
      <c r="M269">
        <v>5</v>
      </c>
      <c r="N269" s="57">
        <v>4</v>
      </c>
    </row>
    <row r="270" spans="1:14" x14ac:dyDescent="0.3">
      <c r="A270">
        <v>8</v>
      </c>
      <c r="B270">
        <v>4</v>
      </c>
      <c r="C270">
        <v>4</v>
      </c>
      <c r="D270">
        <v>4</v>
      </c>
      <c r="E270">
        <v>4</v>
      </c>
      <c r="F270">
        <v>4</v>
      </c>
      <c r="G270">
        <v>4</v>
      </c>
      <c r="H270">
        <v>4</v>
      </c>
      <c r="I270">
        <v>10</v>
      </c>
      <c r="J270">
        <v>12</v>
      </c>
      <c r="K270">
        <v>10</v>
      </c>
      <c r="L270">
        <v>10</v>
      </c>
      <c r="M270">
        <v>12</v>
      </c>
      <c r="N270" s="57">
        <v>10</v>
      </c>
    </row>
    <row r="271" spans="1:14" x14ac:dyDescent="0.3">
      <c r="A271">
        <v>2</v>
      </c>
      <c r="B271">
        <v>6</v>
      </c>
      <c r="C271">
        <v>5</v>
      </c>
      <c r="D271">
        <v>5</v>
      </c>
      <c r="E271">
        <v>2</v>
      </c>
      <c r="F271">
        <v>2</v>
      </c>
      <c r="G271">
        <v>4</v>
      </c>
      <c r="H271">
        <v>2</v>
      </c>
      <c r="I271">
        <v>5</v>
      </c>
      <c r="J271">
        <v>5</v>
      </c>
      <c r="K271">
        <v>2</v>
      </c>
      <c r="L271">
        <v>3</v>
      </c>
      <c r="M271">
        <v>7</v>
      </c>
      <c r="N271" s="57">
        <v>2</v>
      </c>
    </row>
    <row r="272" spans="1:14" x14ac:dyDescent="0.3">
      <c r="A272">
        <v>3</v>
      </c>
      <c r="B272">
        <v>38</v>
      </c>
      <c r="C272">
        <v>33</v>
      </c>
      <c r="D272">
        <v>32</v>
      </c>
      <c r="E272">
        <v>34</v>
      </c>
      <c r="F272">
        <v>27</v>
      </c>
      <c r="G272">
        <v>29</v>
      </c>
      <c r="H272">
        <v>30</v>
      </c>
      <c r="I272">
        <v>37</v>
      </c>
      <c r="J272">
        <v>37</v>
      </c>
      <c r="K272">
        <v>40</v>
      </c>
      <c r="L272">
        <v>35</v>
      </c>
      <c r="M272">
        <v>40</v>
      </c>
      <c r="N272" s="57">
        <v>39</v>
      </c>
    </row>
    <row r="273" spans="1:14" x14ac:dyDescent="0.3">
      <c r="A273">
        <v>4</v>
      </c>
      <c r="B273">
        <v>9</v>
      </c>
      <c r="C273">
        <v>9</v>
      </c>
      <c r="D273">
        <v>9</v>
      </c>
      <c r="E273">
        <v>9</v>
      </c>
      <c r="F273">
        <v>7</v>
      </c>
      <c r="G273">
        <v>7</v>
      </c>
      <c r="H273">
        <v>8</v>
      </c>
      <c r="I273">
        <v>9</v>
      </c>
      <c r="J273">
        <v>15</v>
      </c>
      <c r="K273">
        <v>12</v>
      </c>
      <c r="L273">
        <v>10</v>
      </c>
      <c r="M273">
        <v>13</v>
      </c>
      <c r="N273" s="57">
        <v>13</v>
      </c>
    </row>
    <row r="274" spans="1:14" x14ac:dyDescent="0.3">
      <c r="A274">
        <v>5</v>
      </c>
      <c r="B274">
        <v>4</v>
      </c>
      <c r="C274">
        <v>4</v>
      </c>
      <c r="D274">
        <v>4</v>
      </c>
      <c r="E274">
        <v>4</v>
      </c>
      <c r="F274">
        <v>4</v>
      </c>
      <c r="G274">
        <v>4</v>
      </c>
      <c r="H274">
        <v>3</v>
      </c>
      <c r="I274">
        <v>8</v>
      </c>
      <c r="J274">
        <v>7</v>
      </c>
      <c r="K274">
        <v>5</v>
      </c>
      <c r="L274">
        <v>8</v>
      </c>
      <c r="M274">
        <v>8</v>
      </c>
      <c r="N274" s="57">
        <v>4</v>
      </c>
    </row>
    <row r="275" spans="1:14" x14ac:dyDescent="0.3">
      <c r="A275">
        <v>6</v>
      </c>
      <c r="B275">
        <v>6</v>
      </c>
      <c r="C275">
        <v>6</v>
      </c>
      <c r="D275">
        <v>6</v>
      </c>
      <c r="E275">
        <v>6</v>
      </c>
      <c r="F275">
        <v>6</v>
      </c>
      <c r="G275">
        <v>6</v>
      </c>
      <c r="H275">
        <v>6</v>
      </c>
      <c r="I275">
        <v>14</v>
      </c>
      <c r="J275">
        <v>11</v>
      </c>
      <c r="K275">
        <v>11</v>
      </c>
      <c r="L275">
        <v>14</v>
      </c>
      <c r="M275">
        <v>11</v>
      </c>
      <c r="N275" s="57">
        <v>11</v>
      </c>
    </row>
    <row r="276" spans="1:14" x14ac:dyDescent="0.3">
      <c r="A276">
        <v>7</v>
      </c>
      <c r="B276">
        <v>6</v>
      </c>
      <c r="C276">
        <v>6</v>
      </c>
      <c r="D276">
        <v>6</v>
      </c>
      <c r="E276">
        <v>6</v>
      </c>
      <c r="F276">
        <v>6</v>
      </c>
      <c r="G276">
        <v>6</v>
      </c>
      <c r="H276">
        <v>6</v>
      </c>
      <c r="I276">
        <v>16</v>
      </c>
      <c r="J276">
        <v>12</v>
      </c>
      <c r="K276">
        <v>14</v>
      </c>
      <c r="L276">
        <v>16</v>
      </c>
      <c r="M276">
        <v>12</v>
      </c>
      <c r="N276" s="57">
        <v>14</v>
      </c>
    </row>
    <row r="277" spans="1:14" x14ac:dyDescent="0.3">
      <c r="A277">
        <v>8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3</v>
      </c>
      <c r="J277">
        <v>2</v>
      </c>
      <c r="K277">
        <v>3</v>
      </c>
      <c r="L277">
        <v>3</v>
      </c>
      <c r="M277">
        <v>2</v>
      </c>
      <c r="N277" s="57">
        <v>3</v>
      </c>
    </row>
    <row r="278" spans="1:14" x14ac:dyDescent="0.3">
      <c r="A278">
        <v>2</v>
      </c>
      <c r="B278">
        <v>5</v>
      </c>
      <c r="C278">
        <v>4</v>
      </c>
      <c r="D278">
        <v>3</v>
      </c>
      <c r="E278">
        <v>3</v>
      </c>
      <c r="F278">
        <v>2</v>
      </c>
      <c r="G278">
        <v>1</v>
      </c>
      <c r="H278">
        <v>4</v>
      </c>
      <c r="I278">
        <v>4</v>
      </c>
      <c r="J278">
        <v>3</v>
      </c>
      <c r="K278">
        <v>3</v>
      </c>
      <c r="L278">
        <v>2</v>
      </c>
      <c r="M278">
        <v>2</v>
      </c>
      <c r="N278" s="57">
        <v>6</v>
      </c>
    </row>
    <row r="279" spans="1:14" x14ac:dyDescent="0.3">
      <c r="A279">
        <v>3</v>
      </c>
      <c r="B279">
        <v>43</v>
      </c>
      <c r="C279">
        <v>41</v>
      </c>
      <c r="D279">
        <v>42</v>
      </c>
      <c r="E279">
        <v>36</v>
      </c>
      <c r="F279">
        <v>31</v>
      </c>
      <c r="G279">
        <v>37</v>
      </c>
      <c r="H279">
        <v>34</v>
      </c>
      <c r="I279">
        <v>48</v>
      </c>
      <c r="J279">
        <v>44</v>
      </c>
      <c r="K279">
        <v>37</v>
      </c>
      <c r="L279">
        <v>40</v>
      </c>
      <c r="M279">
        <v>49</v>
      </c>
      <c r="N279" s="57">
        <v>40</v>
      </c>
    </row>
    <row r="280" spans="1:14" x14ac:dyDescent="0.3">
      <c r="A280">
        <v>4</v>
      </c>
      <c r="B280">
        <v>10</v>
      </c>
      <c r="C280">
        <v>10</v>
      </c>
      <c r="D280">
        <v>10</v>
      </c>
      <c r="E280">
        <v>10</v>
      </c>
      <c r="F280">
        <v>8</v>
      </c>
      <c r="G280">
        <v>8</v>
      </c>
      <c r="H280">
        <v>9</v>
      </c>
      <c r="I280">
        <v>16</v>
      </c>
      <c r="J280">
        <v>11</v>
      </c>
      <c r="K280">
        <v>13</v>
      </c>
      <c r="L280">
        <v>14</v>
      </c>
      <c r="M280">
        <v>12</v>
      </c>
      <c r="N280" s="57">
        <v>14</v>
      </c>
    </row>
    <row r="281" spans="1:14" x14ac:dyDescent="0.3">
      <c r="A281">
        <v>5</v>
      </c>
      <c r="B281">
        <v>3</v>
      </c>
      <c r="C281">
        <v>3</v>
      </c>
      <c r="D281">
        <v>3</v>
      </c>
      <c r="E281">
        <v>3</v>
      </c>
      <c r="F281">
        <v>3</v>
      </c>
      <c r="G281">
        <v>2</v>
      </c>
      <c r="H281">
        <v>3</v>
      </c>
      <c r="I281">
        <v>5</v>
      </c>
      <c r="J281">
        <v>4</v>
      </c>
      <c r="K281">
        <v>6</v>
      </c>
      <c r="L281">
        <v>7</v>
      </c>
      <c r="M281">
        <v>2</v>
      </c>
      <c r="N281" s="57">
        <v>6</v>
      </c>
    </row>
    <row r="282" spans="1:14" x14ac:dyDescent="0.3">
      <c r="A282">
        <v>6</v>
      </c>
      <c r="B282">
        <v>4</v>
      </c>
      <c r="C282">
        <v>4</v>
      </c>
      <c r="D282">
        <v>4</v>
      </c>
      <c r="E282">
        <v>4</v>
      </c>
      <c r="F282">
        <v>4</v>
      </c>
      <c r="G282">
        <v>4</v>
      </c>
      <c r="H282">
        <v>4</v>
      </c>
      <c r="I282">
        <v>7</v>
      </c>
      <c r="J282">
        <v>7</v>
      </c>
      <c r="K282">
        <v>10</v>
      </c>
      <c r="L282">
        <v>7</v>
      </c>
      <c r="M282">
        <v>7</v>
      </c>
      <c r="N282" s="57">
        <v>10</v>
      </c>
    </row>
    <row r="283" spans="1:14" x14ac:dyDescent="0.3">
      <c r="A283">
        <v>7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5</v>
      </c>
      <c r="J283">
        <v>4</v>
      </c>
      <c r="K283">
        <v>5</v>
      </c>
      <c r="L283">
        <v>5</v>
      </c>
      <c r="M283">
        <v>4</v>
      </c>
      <c r="N283" s="57">
        <v>5</v>
      </c>
    </row>
    <row r="284" spans="1:14" x14ac:dyDescent="0.3">
      <c r="A284">
        <v>8</v>
      </c>
      <c r="B284">
        <v>3</v>
      </c>
      <c r="C284">
        <v>3</v>
      </c>
      <c r="D284">
        <v>3</v>
      </c>
      <c r="E284">
        <v>3</v>
      </c>
      <c r="F284">
        <v>3</v>
      </c>
      <c r="G284">
        <v>3</v>
      </c>
      <c r="H284">
        <v>3</v>
      </c>
      <c r="I284">
        <v>8</v>
      </c>
      <c r="J284">
        <v>7</v>
      </c>
      <c r="K284">
        <v>9</v>
      </c>
      <c r="L284">
        <v>8</v>
      </c>
      <c r="M284">
        <v>7</v>
      </c>
      <c r="N284" s="57">
        <v>9</v>
      </c>
    </row>
    <row r="285" spans="1:14" x14ac:dyDescent="0.3">
      <c r="A285">
        <v>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s="57">
        <v>0</v>
      </c>
    </row>
    <row r="286" spans="1:14" x14ac:dyDescent="0.3">
      <c r="A286">
        <v>3</v>
      </c>
      <c r="B286">
        <v>47</v>
      </c>
      <c r="C286">
        <v>42</v>
      </c>
      <c r="D286">
        <v>40</v>
      </c>
      <c r="E286">
        <v>43</v>
      </c>
      <c r="F286">
        <v>40</v>
      </c>
      <c r="G286">
        <v>35</v>
      </c>
      <c r="H286">
        <v>36</v>
      </c>
      <c r="I286">
        <v>46</v>
      </c>
      <c r="J286">
        <v>45</v>
      </c>
      <c r="K286">
        <v>50</v>
      </c>
      <c r="L286">
        <v>51</v>
      </c>
      <c r="M286">
        <v>42</v>
      </c>
      <c r="N286" s="57">
        <v>48</v>
      </c>
    </row>
    <row r="287" spans="1:14" x14ac:dyDescent="0.3">
      <c r="A287">
        <v>4</v>
      </c>
      <c r="B287">
        <v>11</v>
      </c>
      <c r="C287">
        <v>11</v>
      </c>
      <c r="D287">
        <v>11</v>
      </c>
      <c r="E287">
        <v>11</v>
      </c>
      <c r="F287">
        <v>10</v>
      </c>
      <c r="G287">
        <v>8</v>
      </c>
      <c r="H287">
        <v>10</v>
      </c>
      <c r="I287">
        <v>14</v>
      </c>
      <c r="J287">
        <v>12</v>
      </c>
      <c r="K287">
        <v>18</v>
      </c>
      <c r="L287">
        <v>16</v>
      </c>
      <c r="M287">
        <v>11</v>
      </c>
      <c r="N287" s="57">
        <v>17</v>
      </c>
    </row>
    <row r="288" spans="1:14" x14ac:dyDescent="0.3">
      <c r="A288">
        <v>5</v>
      </c>
      <c r="B288">
        <v>5</v>
      </c>
      <c r="C288">
        <v>5</v>
      </c>
      <c r="D288">
        <v>5</v>
      </c>
      <c r="E288">
        <v>5</v>
      </c>
      <c r="F288">
        <v>5</v>
      </c>
      <c r="G288">
        <v>4</v>
      </c>
      <c r="H288">
        <v>5</v>
      </c>
      <c r="I288">
        <v>9</v>
      </c>
      <c r="J288">
        <v>9</v>
      </c>
      <c r="K288">
        <v>7</v>
      </c>
      <c r="L288">
        <v>11</v>
      </c>
      <c r="M288">
        <v>7</v>
      </c>
      <c r="N288" s="57">
        <v>7</v>
      </c>
    </row>
    <row r="289" spans="1:14" x14ac:dyDescent="0.3">
      <c r="A289">
        <v>6</v>
      </c>
      <c r="B289">
        <v>5</v>
      </c>
      <c r="C289">
        <v>5</v>
      </c>
      <c r="D289">
        <v>5</v>
      </c>
      <c r="E289">
        <v>5</v>
      </c>
      <c r="F289">
        <v>5</v>
      </c>
      <c r="G289">
        <v>5</v>
      </c>
      <c r="H289">
        <v>5</v>
      </c>
      <c r="I289">
        <v>10</v>
      </c>
      <c r="J289">
        <v>12</v>
      </c>
      <c r="K289">
        <v>8</v>
      </c>
      <c r="L289">
        <v>10</v>
      </c>
      <c r="M289">
        <v>12</v>
      </c>
      <c r="N289" s="57">
        <v>8</v>
      </c>
    </row>
    <row r="290" spans="1:14" x14ac:dyDescent="0.3">
      <c r="A290">
        <v>7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2</v>
      </c>
      <c r="J290">
        <v>2</v>
      </c>
      <c r="K290">
        <v>3</v>
      </c>
      <c r="L290">
        <v>2</v>
      </c>
      <c r="M290">
        <v>2</v>
      </c>
      <c r="N290" s="57">
        <v>3</v>
      </c>
    </row>
    <row r="291" spans="1:14" x14ac:dyDescent="0.3">
      <c r="A291">
        <v>8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3</v>
      </c>
      <c r="J291">
        <v>3</v>
      </c>
      <c r="K291">
        <v>2</v>
      </c>
      <c r="L291">
        <v>3</v>
      </c>
      <c r="M291">
        <v>3</v>
      </c>
      <c r="N291" s="57">
        <v>2</v>
      </c>
    </row>
    <row r="292" spans="1:14" x14ac:dyDescent="0.3">
      <c r="A292">
        <v>2</v>
      </c>
      <c r="B292">
        <v>5</v>
      </c>
      <c r="C292">
        <v>5</v>
      </c>
      <c r="D292">
        <v>3</v>
      </c>
      <c r="E292">
        <v>2</v>
      </c>
      <c r="F292">
        <v>4</v>
      </c>
      <c r="G292">
        <v>3</v>
      </c>
      <c r="H292">
        <v>2</v>
      </c>
      <c r="I292">
        <v>5</v>
      </c>
      <c r="J292">
        <v>3</v>
      </c>
      <c r="K292">
        <v>2</v>
      </c>
      <c r="L292">
        <v>4</v>
      </c>
      <c r="M292">
        <v>4</v>
      </c>
      <c r="N292" s="57">
        <v>2</v>
      </c>
    </row>
    <row r="293" spans="1:14" x14ac:dyDescent="0.3">
      <c r="A293">
        <v>3</v>
      </c>
      <c r="B293">
        <v>39</v>
      </c>
      <c r="C293">
        <v>37</v>
      </c>
      <c r="D293">
        <v>30</v>
      </c>
      <c r="E293">
        <v>37</v>
      </c>
      <c r="F293">
        <v>34</v>
      </c>
      <c r="G293">
        <v>30</v>
      </c>
      <c r="H293">
        <v>29</v>
      </c>
      <c r="I293">
        <v>39</v>
      </c>
      <c r="J293">
        <v>32</v>
      </c>
      <c r="K293">
        <v>46</v>
      </c>
      <c r="L293">
        <v>44</v>
      </c>
      <c r="M293">
        <v>35</v>
      </c>
      <c r="N293" s="57">
        <v>38</v>
      </c>
    </row>
    <row r="294" spans="1:14" x14ac:dyDescent="0.3">
      <c r="A294">
        <v>4</v>
      </c>
      <c r="B294">
        <v>14</v>
      </c>
      <c r="C294">
        <v>14</v>
      </c>
      <c r="D294">
        <v>14</v>
      </c>
      <c r="E294">
        <v>14</v>
      </c>
      <c r="F294">
        <v>13</v>
      </c>
      <c r="G294">
        <v>13</v>
      </c>
      <c r="H294">
        <v>13</v>
      </c>
      <c r="I294">
        <v>18</v>
      </c>
      <c r="J294">
        <v>19</v>
      </c>
      <c r="K294">
        <v>19</v>
      </c>
      <c r="L294">
        <v>18</v>
      </c>
      <c r="M294">
        <v>20</v>
      </c>
      <c r="N294" s="57">
        <v>18</v>
      </c>
    </row>
    <row r="295" spans="1:14" x14ac:dyDescent="0.3">
      <c r="A295">
        <v>5</v>
      </c>
      <c r="B295">
        <v>3</v>
      </c>
      <c r="C295">
        <v>3</v>
      </c>
      <c r="D295">
        <v>3</v>
      </c>
      <c r="E295">
        <v>3</v>
      </c>
      <c r="F295">
        <v>2</v>
      </c>
      <c r="G295">
        <v>2</v>
      </c>
      <c r="H295">
        <v>3</v>
      </c>
      <c r="I295">
        <v>5</v>
      </c>
      <c r="J295">
        <v>5</v>
      </c>
      <c r="K295">
        <v>5</v>
      </c>
      <c r="L295">
        <v>5</v>
      </c>
      <c r="M295">
        <v>3</v>
      </c>
      <c r="N295" s="57">
        <v>7</v>
      </c>
    </row>
    <row r="296" spans="1:14" x14ac:dyDescent="0.3">
      <c r="A296">
        <v>6</v>
      </c>
      <c r="B296">
        <v>3</v>
      </c>
      <c r="C296">
        <v>3</v>
      </c>
      <c r="D296">
        <v>3</v>
      </c>
      <c r="E296">
        <v>3</v>
      </c>
      <c r="F296">
        <v>3</v>
      </c>
      <c r="G296">
        <v>3</v>
      </c>
      <c r="H296">
        <v>3</v>
      </c>
      <c r="I296">
        <v>6</v>
      </c>
      <c r="J296">
        <v>5</v>
      </c>
      <c r="K296">
        <v>7</v>
      </c>
      <c r="L296">
        <v>6</v>
      </c>
      <c r="M296">
        <v>5</v>
      </c>
      <c r="N296" s="57">
        <v>7</v>
      </c>
    </row>
    <row r="297" spans="1:14" x14ac:dyDescent="0.3">
      <c r="A297">
        <v>7</v>
      </c>
      <c r="B297">
        <v>5</v>
      </c>
      <c r="C297">
        <v>5</v>
      </c>
      <c r="D297">
        <v>5</v>
      </c>
      <c r="E297">
        <v>5</v>
      </c>
      <c r="F297">
        <v>5</v>
      </c>
      <c r="G297">
        <v>5</v>
      </c>
      <c r="H297">
        <v>5</v>
      </c>
      <c r="I297">
        <v>11</v>
      </c>
      <c r="J297">
        <v>13</v>
      </c>
      <c r="K297">
        <v>11</v>
      </c>
      <c r="L297">
        <v>11</v>
      </c>
      <c r="M297">
        <v>13</v>
      </c>
      <c r="N297" s="57">
        <v>11</v>
      </c>
    </row>
    <row r="298" spans="1:14" x14ac:dyDescent="0.3">
      <c r="A298">
        <v>8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3</v>
      </c>
      <c r="J298">
        <v>2</v>
      </c>
      <c r="K298">
        <v>3</v>
      </c>
      <c r="L298">
        <v>3</v>
      </c>
      <c r="M298">
        <v>2</v>
      </c>
      <c r="N298" s="57">
        <v>3</v>
      </c>
    </row>
    <row r="299" spans="1:14" x14ac:dyDescent="0.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</sheetData>
  <mergeCells count="24">
    <mergeCell ref="F1:H1"/>
    <mergeCell ref="I1:K1"/>
    <mergeCell ref="L1:N1"/>
    <mergeCell ref="Q23:T23"/>
    <mergeCell ref="AC12:AF12"/>
    <mergeCell ref="Q12:T12"/>
    <mergeCell ref="U12:X12"/>
    <mergeCell ref="Y12:AB12"/>
    <mergeCell ref="C1:E1"/>
    <mergeCell ref="Q1:T1"/>
    <mergeCell ref="AC23:AF23"/>
    <mergeCell ref="AT1:AV1"/>
    <mergeCell ref="Y23:AB23"/>
    <mergeCell ref="U23:X23"/>
    <mergeCell ref="AT12:AV12"/>
    <mergeCell ref="AQ12:AS12"/>
    <mergeCell ref="U1:X1"/>
    <mergeCell ref="Y1:AB1"/>
    <mergeCell ref="AK1:AM1"/>
    <mergeCell ref="AN1:AP1"/>
    <mergeCell ref="AQ1:AS1"/>
    <mergeCell ref="AC1:AF1"/>
    <mergeCell ref="AK12:AM12"/>
    <mergeCell ref="AN12:AP1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9"/>
  <sheetViews>
    <sheetView topLeftCell="A37" workbookViewId="0">
      <selection activeCell="A50" sqref="A50:XFD50"/>
    </sheetView>
  </sheetViews>
  <sheetFormatPr defaultRowHeight="14.4" x14ac:dyDescent="0.3"/>
  <cols>
    <col min="2" max="2" width="9.5546875" style="56" bestFit="1" customWidth="1"/>
    <col min="3" max="4" width="9.33203125" style="56" bestFit="1" customWidth="1"/>
    <col min="5" max="6" width="9.5546875" style="56" bestFit="1" customWidth="1"/>
    <col min="7" max="8" width="9.33203125" style="56" bestFit="1" customWidth="1"/>
    <col min="9" max="9" width="9.109375" style="57" customWidth="1"/>
    <col min="20" max="20" width="12.109375" style="56" customWidth="1"/>
  </cols>
  <sheetData>
    <row r="1" spans="1:2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T1">
        <v>9.8000000000000032E-2</v>
      </c>
    </row>
    <row r="2" spans="1:26" x14ac:dyDescent="0.3">
      <c r="B2">
        <v>7.0000000000000007E-2</v>
      </c>
      <c r="C2">
        <v>0.56999999999999995</v>
      </c>
      <c r="D2">
        <v>0.15</v>
      </c>
      <c r="E2">
        <v>7.8E-2</v>
      </c>
      <c r="F2">
        <v>0.06</v>
      </c>
      <c r="G2">
        <v>0.04</v>
      </c>
      <c r="H2">
        <v>0.03</v>
      </c>
      <c r="J2">
        <v>4.2000000000000003E-2</v>
      </c>
      <c r="K2">
        <v>0.19900000000000001</v>
      </c>
      <c r="L2">
        <v>0.44400000000000001</v>
      </c>
      <c r="M2">
        <v>0.129</v>
      </c>
      <c r="N2">
        <v>7.3999999999999996E-2</v>
      </c>
      <c r="O2">
        <v>4.5999999999999999E-2</v>
      </c>
      <c r="P2">
        <v>3.9E-2</v>
      </c>
      <c r="Q2">
        <v>2.7E-2</v>
      </c>
      <c r="T2">
        <v>1.5389999999999999</v>
      </c>
    </row>
    <row r="3" spans="1:26" x14ac:dyDescent="0.3">
      <c r="B3">
        <f t="shared" ref="B3:H3" si="0">B1*B2</f>
        <v>0.14000000000000001</v>
      </c>
      <c r="C3">
        <f t="shared" si="0"/>
        <v>1.71</v>
      </c>
      <c r="D3">
        <f t="shared" si="0"/>
        <v>0.6</v>
      </c>
      <c r="E3">
        <f t="shared" si="0"/>
        <v>0.39</v>
      </c>
      <c r="F3">
        <f t="shared" si="0"/>
        <v>0.36</v>
      </c>
      <c r="G3">
        <f t="shared" si="0"/>
        <v>0.28000000000000003</v>
      </c>
      <c r="H3">
        <f t="shared" si="0"/>
        <v>0.24</v>
      </c>
      <c r="I3" s="57">
        <f>SUM(B3:H3)</f>
        <v>3.7200000000000006</v>
      </c>
      <c r="J3">
        <f t="shared" ref="J3:Q3" si="1">J1*J2</f>
        <v>4.2000000000000003E-2</v>
      </c>
      <c r="K3">
        <f t="shared" si="1"/>
        <v>0.39800000000000002</v>
      </c>
      <c r="L3">
        <f t="shared" si="1"/>
        <v>1.3320000000000001</v>
      </c>
      <c r="M3">
        <f t="shared" si="1"/>
        <v>0.51600000000000001</v>
      </c>
      <c r="N3">
        <f t="shared" si="1"/>
        <v>0.37</v>
      </c>
      <c r="O3">
        <f t="shared" si="1"/>
        <v>0.27600000000000002</v>
      </c>
      <c r="P3">
        <f t="shared" si="1"/>
        <v>0.27300000000000002</v>
      </c>
      <c r="Q3">
        <f t="shared" si="1"/>
        <v>0.216</v>
      </c>
      <c r="R3">
        <f>SUM(J3:Q3)</f>
        <v>3.4230000000000005</v>
      </c>
      <c r="T3">
        <v>0.55500000000000016</v>
      </c>
      <c r="U3">
        <v>4.2000000000000003E-2</v>
      </c>
      <c r="V3">
        <v>0.19900000000000001</v>
      </c>
      <c r="W3">
        <v>0.44400000000000012</v>
      </c>
      <c r="X3">
        <v>0.129</v>
      </c>
      <c r="Y3">
        <v>7.3999999999999982E-2</v>
      </c>
      <c r="Z3">
        <v>4.6000000000000027E-2</v>
      </c>
    </row>
    <row r="4" spans="1:26" x14ac:dyDescent="0.3">
      <c r="A4" s="5" t="s">
        <v>58</v>
      </c>
      <c r="T4">
        <v>0.37599999999999978</v>
      </c>
    </row>
    <row r="5" spans="1:26" x14ac:dyDescent="0.3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57" t="s">
        <v>59</v>
      </c>
      <c r="J5" s="5">
        <v>1</v>
      </c>
      <c r="K5" s="5">
        <v>2</v>
      </c>
      <c r="L5" s="5">
        <v>3</v>
      </c>
      <c r="M5" s="5">
        <v>4</v>
      </c>
      <c r="N5" s="5">
        <v>5</v>
      </c>
      <c r="O5" s="5">
        <v>6</v>
      </c>
      <c r="P5" s="5">
        <v>7</v>
      </c>
      <c r="Q5" s="5">
        <v>8</v>
      </c>
      <c r="T5">
        <v>0.3420000000000003</v>
      </c>
    </row>
    <row r="6" spans="1:26" x14ac:dyDescent="0.3">
      <c r="A6" s="13">
        <f>SUM(A9:A75)/3</f>
        <v>0</v>
      </c>
      <c r="B6" s="13">
        <f t="shared" ref="B6:H6" si="2">SUM(B9:B75)</f>
        <v>212</v>
      </c>
      <c r="C6" s="13">
        <f t="shared" si="2"/>
        <v>1640</v>
      </c>
      <c r="D6" s="13">
        <f t="shared" si="2"/>
        <v>396</v>
      </c>
      <c r="E6" s="13">
        <f t="shared" si="2"/>
        <v>236</v>
      </c>
      <c r="F6" s="13">
        <f t="shared" si="2"/>
        <v>166</v>
      </c>
      <c r="G6" s="13">
        <f t="shared" si="2"/>
        <v>137</v>
      </c>
      <c r="H6" s="13">
        <f t="shared" si="2"/>
        <v>83</v>
      </c>
      <c r="I6" s="35">
        <f>SUM(A6:H6)</f>
        <v>2870</v>
      </c>
      <c r="J6" s="13">
        <f t="shared" ref="J6:Q6" si="3">SUM(J9:J75)</f>
        <v>0</v>
      </c>
      <c r="K6" s="13">
        <f t="shared" si="3"/>
        <v>212</v>
      </c>
      <c r="L6" s="13">
        <f t="shared" si="3"/>
        <v>1640</v>
      </c>
      <c r="M6" s="13">
        <f t="shared" si="3"/>
        <v>396</v>
      </c>
      <c r="N6" s="13">
        <f t="shared" si="3"/>
        <v>236</v>
      </c>
      <c r="O6" s="13">
        <f t="shared" si="3"/>
        <v>166</v>
      </c>
      <c r="P6" s="13">
        <f t="shared" si="3"/>
        <v>137</v>
      </c>
      <c r="Q6" s="13">
        <f t="shared" si="3"/>
        <v>83</v>
      </c>
      <c r="R6" s="35">
        <f>SUM(J6:Q6)</f>
        <v>2870</v>
      </c>
      <c r="T6">
        <v>0.27599999999999952</v>
      </c>
    </row>
    <row r="7" spans="1:26" x14ac:dyDescent="0.3">
      <c r="A7" s="35">
        <f>SUM(A9:A75)/$I$7*100</f>
        <v>0</v>
      </c>
      <c r="B7" s="18">
        <f t="shared" ref="B7:H7" si="4">B6/$I$6</f>
        <v>7.3867595818815329E-2</v>
      </c>
      <c r="C7" s="18">
        <f t="shared" si="4"/>
        <v>0.5714285714285714</v>
      </c>
      <c r="D7" s="35">
        <f t="shared" si="4"/>
        <v>0.13797909407665504</v>
      </c>
      <c r="E7" s="35">
        <f t="shared" si="4"/>
        <v>8.2229965156794427E-2</v>
      </c>
      <c r="F7" s="35">
        <f t="shared" si="4"/>
        <v>5.7839721254355402E-2</v>
      </c>
      <c r="G7" s="35">
        <f t="shared" si="4"/>
        <v>4.773519163763066E-2</v>
      </c>
      <c r="H7" s="35">
        <f t="shared" si="4"/>
        <v>2.8919860627177701E-2</v>
      </c>
      <c r="I7" s="35">
        <f>SUM(B7:H7)</f>
        <v>0.99999999999999978</v>
      </c>
      <c r="J7" s="35">
        <f t="shared" ref="J7:Q7" si="5">J6/$I$6</f>
        <v>0</v>
      </c>
      <c r="K7" s="35">
        <f t="shared" si="5"/>
        <v>7.3867595818815329E-2</v>
      </c>
      <c r="L7" s="35">
        <f t="shared" si="5"/>
        <v>0.5714285714285714</v>
      </c>
      <c r="M7" s="35">
        <f t="shared" si="5"/>
        <v>0.13797909407665504</v>
      </c>
      <c r="N7" s="35">
        <f t="shared" si="5"/>
        <v>8.2229965156794427E-2</v>
      </c>
      <c r="O7" s="35">
        <f t="shared" si="5"/>
        <v>5.7839721254355402E-2</v>
      </c>
      <c r="P7" s="35">
        <f t="shared" si="5"/>
        <v>4.773519163763066E-2</v>
      </c>
      <c r="Q7" s="35">
        <f t="shared" si="5"/>
        <v>2.8919860627177701E-2</v>
      </c>
      <c r="R7" s="35">
        <f>SUM(J7:Q7)</f>
        <v>0.99999999999999978</v>
      </c>
      <c r="T7">
        <v>0.23700000000000029</v>
      </c>
    </row>
    <row r="8" spans="1:26" s="4" customFormat="1" x14ac:dyDescent="0.3">
      <c r="A8" s="6"/>
      <c r="B8" s="6">
        <f t="shared" ref="B8:H8" si="6">B7*B5</f>
        <v>0.14773519163763066</v>
      </c>
      <c r="C8" s="6">
        <f t="shared" si="6"/>
        <v>1.7142857142857142</v>
      </c>
      <c r="D8" s="6">
        <f t="shared" si="6"/>
        <v>0.55191637630662016</v>
      </c>
      <c r="E8" s="6">
        <f t="shared" si="6"/>
        <v>0.41114982578397213</v>
      </c>
      <c r="F8" s="6">
        <f t="shared" si="6"/>
        <v>0.3470383275261324</v>
      </c>
      <c r="G8" s="6">
        <f t="shared" si="6"/>
        <v>0.3341463414634146</v>
      </c>
      <c r="H8" s="6">
        <f t="shared" si="6"/>
        <v>0.23135888501742161</v>
      </c>
      <c r="I8" s="6">
        <f>SUM(B8:H8)</f>
        <v>3.7376306620209059</v>
      </c>
      <c r="J8" s="6">
        <f t="shared" ref="J8:Q8" si="7">J7*J5</f>
        <v>0</v>
      </c>
      <c r="K8" s="6">
        <f t="shared" si="7"/>
        <v>0.14773519163763066</v>
      </c>
      <c r="L8" s="6">
        <f t="shared" si="7"/>
        <v>1.7142857142857142</v>
      </c>
      <c r="M8" s="6">
        <f t="shared" si="7"/>
        <v>0.55191637630662016</v>
      </c>
      <c r="N8" s="6">
        <f t="shared" si="7"/>
        <v>0.41114982578397213</v>
      </c>
      <c r="O8" s="6">
        <f t="shared" si="7"/>
        <v>0.3470383275261324</v>
      </c>
      <c r="P8" s="6">
        <f t="shared" si="7"/>
        <v>0.3341463414634146</v>
      </c>
      <c r="Q8" s="6">
        <f t="shared" si="7"/>
        <v>0.23135888501742161</v>
      </c>
      <c r="R8" s="6">
        <f>SUM(J8:Q8)</f>
        <v>3.7376306620209059</v>
      </c>
    </row>
    <row r="9" spans="1:26" x14ac:dyDescent="0.3">
      <c r="A9">
        <v>0</v>
      </c>
      <c r="B9">
        <v>3</v>
      </c>
      <c r="C9">
        <v>38</v>
      </c>
      <c r="D9">
        <v>15</v>
      </c>
      <c r="E9">
        <v>4</v>
      </c>
      <c r="F9">
        <v>4</v>
      </c>
      <c r="G9">
        <v>4</v>
      </c>
      <c r="H9">
        <v>2</v>
      </c>
      <c r="I9" s="57" t="s">
        <v>14</v>
      </c>
      <c r="J9">
        <v>0</v>
      </c>
      <c r="K9">
        <v>3</v>
      </c>
      <c r="L9">
        <v>38</v>
      </c>
      <c r="M9">
        <v>15</v>
      </c>
      <c r="N9">
        <v>4</v>
      </c>
      <c r="O9">
        <v>4</v>
      </c>
      <c r="P9">
        <v>4</v>
      </c>
      <c r="Q9">
        <v>2</v>
      </c>
    </row>
    <row r="10" spans="1:26" x14ac:dyDescent="0.3">
      <c r="A10">
        <v>0</v>
      </c>
      <c r="B10">
        <v>4</v>
      </c>
      <c r="C10">
        <v>43</v>
      </c>
      <c r="D10">
        <v>6</v>
      </c>
      <c r="E10">
        <v>11</v>
      </c>
      <c r="F10">
        <v>4</v>
      </c>
      <c r="G10">
        <v>0</v>
      </c>
      <c r="H10">
        <v>2</v>
      </c>
      <c r="I10" s="57" t="s">
        <v>14</v>
      </c>
      <c r="J10">
        <v>0</v>
      </c>
      <c r="K10">
        <v>4</v>
      </c>
      <c r="L10">
        <v>43</v>
      </c>
      <c r="M10">
        <v>6</v>
      </c>
      <c r="N10">
        <v>11</v>
      </c>
      <c r="O10">
        <v>4</v>
      </c>
      <c r="P10">
        <v>0</v>
      </c>
      <c r="Q10">
        <v>2</v>
      </c>
    </row>
    <row r="11" spans="1:26" x14ac:dyDescent="0.3">
      <c r="A11">
        <v>0</v>
      </c>
      <c r="B11">
        <v>8</v>
      </c>
      <c r="C11">
        <v>43</v>
      </c>
      <c r="D11">
        <v>8</v>
      </c>
      <c r="E11">
        <v>1</v>
      </c>
      <c r="F11">
        <v>6</v>
      </c>
      <c r="G11">
        <v>4</v>
      </c>
      <c r="H11">
        <v>0</v>
      </c>
      <c r="I11" s="57" t="s">
        <v>14</v>
      </c>
      <c r="J11">
        <v>0</v>
      </c>
      <c r="K11">
        <v>8</v>
      </c>
      <c r="L11">
        <v>43</v>
      </c>
      <c r="M11">
        <v>8</v>
      </c>
      <c r="N11">
        <v>1</v>
      </c>
      <c r="O11">
        <v>6</v>
      </c>
      <c r="P11">
        <v>4</v>
      </c>
      <c r="Q11">
        <v>0</v>
      </c>
    </row>
    <row r="12" spans="1:26" x14ac:dyDescent="0.3">
      <c r="A12">
        <v>0</v>
      </c>
      <c r="B12">
        <v>4</v>
      </c>
      <c r="C12">
        <v>43</v>
      </c>
      <c r="D12">
        <v>9</v>
      </c>
      <c r="E12">
        <v>7</v>
      </c>
      <c r="F12">
        <v>4</v>
      </c>
      <c r="G12">
        <v>2</v>
      </c>
      <c r="H12">
        <v>1</v>
      </c>
      <c r="I12" s="57" t="s">
        <v>14</v>
      </c>
      <c r="J12">
        <v>0</v>
      </c>
      <c r="K12">
        <v>4</v>
      </c>
      <c r="L12">
        <v>43</v>
      </c>
      <c r="M12">
        <v>9</v>
      </c>
      <c r="N12">
        <v>7</v>
      </c>
      <c r="O12">
        <v>4</v>
      </c>
      <c r="P12">
        <v>2</v>
      </c>
      <c r="Q12">
        <v>1</v>
      </c>
    </row>
    <row r="13" spans="1:26" x14ac:dyDescent="0.3">
      <c r="A13">
        <v>0</v>
      </c>
      <c r="B13">
        <v>7</v>
      </c>
      <c r="C13">
        <v>40</v>
      </c>
      <c r="D13">
        <v>8</v>
      </c>
      <c r="E13">
        <v>4</v>
      </c>
      <c r="F13">
        <v>2</v>
      </c>
      <c r="G13">
        <v>7</v>
      </c>
      <c r="H13">
        <v>2</v>
      </c>
      <c r="I13" t="s">
        <v>14</v>
      </c>
      <c r="J13">
        <v>0</v>
      </c>
      <c r="K13">
        <v>7</v>
      </c>
      <c r="L13">
        <v>40</v>
      </c>
      <c r="M13">
        <v>8</v>
      </c>
      <c r="N13">
        <v>4</v>
      </c>
      <c r="O13">
        <v>2</v>
      </c>
      <c r="P13">
        <v>7</v>
      </c>
      <c r="Q13">
        <v>2</v>
      </c>
    </row>
    <row r="14" spans="1:26" x14ac:dyDescent="0.3">
      <c r="A14">
        <v>0</v>
      </c>
      <c r="B14">
        <v>6</v>
      </c>
      <c r="C14">
        <v>41</v>
      </c>
      <c r="D14">
        <v>10</v>
      </c>
      <c r="E14">
        <v>6</v>
      </c>
      <c r="F14">
        <v>3</v>
      </c>
      <c r="G14">
        <v>3</v>
      </c>
      <c r="H14">
        <v>1</v>
      </c>
      <c r="I14" t="s">
        <v>14</v>
      </c>
      <c r="J14">
        <v>0</v>
      </c>
      <c r="K14">
        <v>6</v>
      </c>
      <c r="L14">
        <v>41</v>
      </c>
      <c r="M14">
        <v>10</v>
      </c>
      <c r="N14">
        <v>6</v>
      </c>
      <c r="O14">
        <v>3</v>
      </c>
      <c r="P14">
        <v>3</v>
      </c>
      <c r="Q14">
        <v>1</v>
      </c>
    </row>
    <row r="15" spans="1:26" x14ac:dyDescent="0.3">
      <c r="A15">
        <v>0</v>
      </c>
      <c r="B15">
        <v>1</v>
      </c>
      <c r="C15">
        <v>45</v>
      </c>
      <c r="D15">
        <v>8</v>
      </c>
      <c r="E15">
        <v>5</v>
      </c>
      <c r="F15">
        <v>2</v>
      </c>
      <c r="G15">
        <v>5</v>
      </c>
      <c r="H15">
        <v>4</v>
      </c>
      <c r="I15" t="s">
        <v>14</v>
      </c>
      <c r="J15">
        <v>0</v>
      </c>
      <c r="K15">
        <v>1</v>
      </c>
      <c r="L15">
        <v>45</v>
      </c>
      <c r="M15">
        <v>8</v>
      </c>
      <c r="N15">
        <v>5</v>
      </c>
      <c r="O15">
        <v>2</v>
      </c>
      <c r="P15">
        <v>5</v>
      </c>
      <c r="Q15">
        <v>4</v>
      </c>
    </row>
    <row r="16" spans="1:26" x14ac:dyDescent="0.3">
      <c r="A16">
        <v>0</v>
      </c>
      <c r="B16">
        <v>6</v>
      </c>
      <c r="C16">
        <v>45</v>
      </c>
      <c r="D16">
        <v>10</v>
      </c>
      <c r="E16">
        <v>2</v>
      </c>
      <c r="F16">
        <v>2</v>
      </c>
      <c r="G16">
        <v>3</v>
      </c>
      <c r="H16">
        <v>2</v>
      </c>
      <c r="I16" t="s">
        <v>14</v>
      </c>
      <c r="J16">
        <v>0</v>
      </c>
      <c r="K16">
        <v>6</v>
      </c>
      <c r="L16">
        <v>45</v>
      </c>
      <c r="M16">
        <v>10</v>
      </c>
      <c r="N16">
        <v>2</v>
      </c>
      <c r="O16">
        <v>2</v>
      </c>
      <c r="P16">
        <v>3</v>
      </c>
      <c r="Q16">
        <v>2</v>
      </c>
    </row>
    <row r="17" spans="1:17" x14ac:dyDescent="0.3">
      <c r="A17">
        <v>0</v>
      </c>
      <c r="B17">
        <v>6</v>
      </c>
      <c r="C17">
        <v>38</v>
      </c>
      <c r="D17">
        <v>7</v>
      </c>
      <c r="E17">
        <v>9</v>
      </c>
      <c r="F17">
        <v>3</v>
      </c>
      <c r="G17">
        <v>4</v>
      </c>
      <c r="H17">
        <v>3</v>
      </c>
      <c r="I17" t="s">
        <v>14</v>
      </c>
      <c r="J17">
        <v>0</v>
      </c>
      <c r="K17">
        <v>6</v>
      </c>
      <c r="L17">
        <v>38</v>
      </c>
      <c r="M17">
        <v>7</v>
      </c>
      <c r="N17">
        <v>9</v>
      </c>
      <c r="O17">
        <v>3</v>
      </c>
      <c r="P17">
        <v>4</v>
      </c>
      <c r="Q17">
        <v>3</v>
      </c>
    </row>
    <row r="18" spans="1:17" x14ac:dyDescent="0.3">
      <c r="A18">
        <v>0</v>
      </c>
      <c r="B18">
        <v>6</v>
      </c>
      <c r="C18">
        <v>41</v>
      </c>
      <c r="D18">
        <v>6</v>
      </c>
      <c r="E18">
        <v>6</v>
      </c>
      <c r="F18">
        <v>4</v>
      </c>
      <c r="G18">
        <v>4</v>
      </c>
      <c r="H18">
        <v>3</v>
      </c>
      <c r="I18" t="s">
        <v>14</v>
      </c>
      <c r="J18">
        <v>0</v>
      </c>
      <c r="K18">
        <v>6</v>
      </c>
      <c r="L18">
        <v>41</v>
      </c>
      <c r="M18">
        <v>6</v>
      </c>
      <c r="N18">
        <v>6</v>
      </c>
      <c r="O18">
        <v>4</v>
      </c>
      <c r="P18">
        <v>4</v>
      </c>
      <c r="Q18">
        <v>3</v>
      </c>
    </row>
    <row r="19" spans="1:17" s="4" customFormat="1" x14ac:dyDescent="0.3">
      <c r="A19" s="4">
        <v>0</v>
      </c>
      <c r="B19" s="4">
        <v>6</v>
      </c>
      <c r="C19" s="4">
        <v>40</v>
      </c>
      <c r="D19" s="4">
        <v>12</v>
      </c>
      <c r="E19" s="4">
        <v>7</v>
      </c>
      <c r="F19" s="4">
        <v>1</v>
      </c>
      <c r="G19" s="4">
        <v>1</v>
      </c>
      <c r="H19" s="4">
        <v>3</v>
      </c>
      <c r="I19" s="4" t="s">
        <v>14</v>
      </c>
      <c r="J19" s="4">
        <v>0</v>
      </c>
      <c r="K19" s="4">
        <v>6</v>
      </c>
      <c r="L19" s="4">
        <v>40</v>
      </c>
      <c r="M19" s="4">
        <v>12</v>
      </c>
      <c r="N19" s="4">
        <v>7</v>
      </c>
      <c r="O19" s="4">
        <v>1</v>
      </c>
      <c r="P19" s="4">
        <v>1</v>
      </c>
      <c r="Q19" s="4">
        <v>3</v>
      </c>
    </row>
    <row r="20" spans="1:17" x14ac:dyDescent="0.3">
      <c r="A20">
        <v>0</v>
      </c>
      <c r="B20">
        <v>8</v>
      </c>
      <c r="C20">
        <v>42</v>
      </c>
      <c r="D20">
        <v>5</v>
      </c>
      <c r="E20">
        <v>5</v>
      </c>
      <c r="F20">
        <v>5</v>
      </c>
      <c r="G20">
        <v>4</v>
      </c>
      <c r="H20">
        <v>1</v>
      </c>
      <c r="I20" t="s">
        <v>14</v>
      </c>
      <c r="J20">
        <v>0</v>
      </c>
      <c r="K20">
        <v>8</v>
      </c>
      <c r="L20">
        <v>42</v>
      </c>
      <c r="M20">
        <v>5</v>
      </c>
      <c r="N20">
        <v>5</v>
      </c>
      <c r="O20">
        <v>5</v>
      </c>
      <c r="P20">
        <v>4</v>
      </c>
      <c r="Q20">
        <v>1</v>
      </c>
    </row>
    <row r="21" spans="1:17" x14ac:dyDescent="0.3">
      <c r="A21">
        <v>0</v>
      </c>
      <c r="B21">
        <v>8</v>
      </c>
      <c r="C21">
        <v>37</v>
      </c>
      <c r="D21">
        <v>5</v>
      </c>
      <c r="E21">
        <v>7</v>
      </c>
      <c r="F21">
        <v>7</v>
      </c>
      <c r="G21">
        <v>2</v>
      </c>
      <c r="H21">
        <v>4</v>
      </c>
      <c r="I21" t="s">
        <v>14</v>
      </c>
      <c r="J21">
        <v>0</v>
      </c>
      <c r="K21">
        <v>8</v>
      </c>
      <c r="L21">
        <v>37</v>
      </c>
      <c r="M21">
        <v>5</v>
      </c>
      <c r="N21">
        <v>7</v>
      </c>
      <c r="O21">
        <v>7</v>
      </c>
      <c r="P21">
        <v>2</v>
      </c>
      <c r="Q21">
        <v>4</v>
      </c>
    </row>
    <row r="22" spans="1:17" x14ac:dyDescent="0.3">
      <c r="A22">
        <v>0</v>
      </c>
      <c r="B22">
        <v>5</v>
      </c>
      <c r="C22">
        <v>35</v>
      </c>
      <c r="D22">
        <v>11</v>
      </c>
      <c r="E22">
        <v>8</v>
      </c>
      <c r="F22">
        <v>7</v>
      </c>
      <c r="G22">
        <v>3</v>
      </c>
      <c r="H22">
        <v>1</v>
      </c>
      <c r="I22" t="s">
        <v>14</v>
      </c>
      <c r="J22">
        <v>0</v>
      </c>
      <c r="K22">
        <v>5</v>
      </c>
      <c r="L22">
        <v>35</v>
      </c>
      <c r="M22">
        <v>11</v>
      </c>
      <c r="N22">
        <v>8</v>
      </c>
      <c r="O22">
        <v>7</v>
      </c>
      <c r="P22">
        <v>3</v>
      </c>
      <c r="Q22">
        <v>1</v>
      </c>
    </row>
    <row r="23" spans="1:17" x14ac:dyDescent="0.3">
      <c r="A23">
        <v>0</v>
      </c>
      <c r="B23">
        <v>9</v>
      </c>
      <c r="C23">
        <v>38</v>
      </c>
      <c r="D23">
        <v>8</v>
      </c>
      <c r="E23">
        <v>6</v>
      </c>
      <c r="F23">
        <v>7</v>
      </c>
      <c r="G23">
        <v>2</v>
      </c>
      <c r="H23">
        <v>0</v>
      </c>
      <c r="I23" t="s">
        <v>14</v>
      </c>
      <c r="J23">
        <v>0</v>
      </c>
      <c r="K23">
        <v>9</v>
      </c>
      <c r="L23">
        <v>38</v>
      </c>
      <c r="M23">
        <v>8</v>
      </c>
      <c r="N23">
        <v>6</v>
      </c>
      <c r="O23">
        <v>7</v>
      </c>
      <c r="P23">
        <v>2</v>
      </c>
      <c r="Q23">
        <v>0</v>
      </c>
    </row>
    <row r="24" spans="1:17" x14ac:dyDescent="0.3">
      <c r="A24">
        <v>0</v>
      </c>
      <c r="B24">
        <v>5</v>
      </c>
      <c r="C24">
        <v>38</v>
      </c>
      <c r="D24">
        <v>12</v>
      </c>
      <c r="E24">
        <v>5</v>
      </c>
      <c r="F24">
        <v>4</v>
      </c>
      <c r="G24">
        <v>5</v>
      </c>
      <c r="H24">
        <v>1</v>
      </c>
      <c r="I24" t="s">
        <v>14</v>
      </c>
      <c r="J24">
        <v>0</v>
      </c>
      <c r="K24">
        <v>5</v>
      </c>
      <c r="L24">
        <v>38</v>
      </c>
      <c r="M24">
        <v>12</v>
      </c>
      <c r="N24">
        <v>5</v>
      </c>
      <c r="O24">
        <v>4</v>
      </c>
      <c r="P24">
        <v>5</v>
      </c>
      <c r="Q24">
        <v>1</v>
      </c>
    </row>
    <row r="25" spans="1:17" x14ac:dyDescent="0.3">
      <c r="A25">
        <v>0</v>
      </c>
      <c r="B25">
        <v>5</v>
      </c>
      <c r="C25">
        <v>48</v>
      </c>
      <c r="D25">
        <v>4</v>
      </c>
      <c r="E25">
        <v>4</v>
      </c>
      <c r="F25">
        <v>4</v>
      </c>
      <c r="G25">
        <v>4</v>
      </c>
      <c r="H25">
        <v>1</v>
      </c>
      <c r="I25" t="s">
        <v>14</v>
      </c>
      <c r="J25">
        <v>0</v>
      </c>
      <c r="K25">
        <v>5</v>
      </c>
      <c r="L25">
        <v>48</v>
      </c>
      <c r="M25">
        <v>4</v>
      </c>
      <c r="N25">
        <v>4</v>
      </c>
      <c r="O25">
        <v>4</v>
      </c>
      <c r="P25">
        <v>4</v>
      </c>
      <c r="Q25">
        <v>1</v>
      </c>
    </row>
    <row r="26" spans="1:17" x14ac:dyDescent="0.3">
      <c r="A26">
        <v>0</v>
      </c>
      <c r="B26">
        <v>4</v>
      </c>
      <c r="C26">
        <v>34</v>
      </c>
      <c r="D26">
        <v>8</v>
      </c>
      <c r="E26">
        <v>9</v>
      </c>
      <c r="F26">
        <v>6</v>
      </c>
      <c r="G26">
        <v>6</v>
      </c>
      <c r="H26">
        <v>3</v>
      </c>
      <c r="I26" t="s">
        <v>14</v>
      </c>
      <c r="J26">
        <v>0</v>
      </c>
      <c r="K26">
        <v>4</v>
      </c>
      <c r="L26">
        <v>34</v>
      </c>
      <c r="M26">
        <v>8</v>
      </c>
      <c r="N26">
        <v>9</v>
      </c>
      <c r="O26">
        <v>6</v>
      </c>
      <c r="P26">
        <v>6</v>
      </c>
      <c r="Q26">
        <v>3</v>
      </c>
    </row>
    <row r="27" spans="1:17" x14ac:dyDescent="0.3">
      <c r="A27">
        <v>0</v>
      </c>
      <c r="B27">
        <v>3</v>
      </c>
      <c r="C27">
        <v>41</v>
      </c>
      <c r="D27">
        <v>10</v>
      </c>
      <c r="E27">
        <v>7</v>
      </c>
      <c r="F27">
        <v>3</v>
      </c>
      <c r="G27">
        <v>2</v>
      </c>
      <c r="H27">
        <v>4</v>
      </c>
      <c r="I27" t="s">
        <v>14</v>
      </c>
      <c r="J27">
        <v>0</v>
      </c>
      <c r="K27">
        <v>3</v>
      </c>
      <c r="L27">
        <v>41</v>
      </c>
      <c r="M27">
        <v>10</v>
      </c>
      <c r="N27">
        <v>7</v>
      </c>
      <c r="O27">
        <v>3</v>
      </c>
      <c r="P27">
        <v>2</v>
      </c>
      <c r="Q27">
        <v>4</v>
      </c>
    </row>
    <row r="28" spans="1:17" x14ac:dyDescent="0.3">
      <c r="A28">
        <v>0</v>
      </c>
      <c r="B28">
        <v>6</v>
      </c>
      <c r="C28">
        <v>39</v>
      </c>
      <c r="D28">
        <v>10</v>
      </c>
      <c r="E28">
        <v>5</v>
      </c>
      <c r="F28">
        <v>4</v>
      </c>
      <c r="G28">
        <v>5</v>
      </c>
      <c r="H28">
        <v>1</v>
      </c>
      <c r="I28" t="s">
        <v>14</v>
      </c>
      <c r="J28">
        <v>0</v>
      </c>
      <c r="K28">
        <v>6</v>
      </c>
      <c r="L28">
        <v>39</v>
      </c>
      <c r="M28">
        <v>10</v>
      </c>
      <c r="N28">
        <v>5</v>
      </c>
      <c r="O28">
        <v>4</v>
      </c>
      <c r="P28">
        <v>5</v>
      </c>
      <c r="Q28">
        <v>1</v>
      </c>
    </row>
    <row r="29" spans="1:17" x14ac:dyDescent="0.3">
      <c r="A29">
        <v>0</v>
      </c>
      <c r="B29">
        <v>6</v>
      </c>
      <c r="C29">
        <v>41</v>
      </c>
      <c r="D29">
        <v>11</v>
      </c>
      <c r="E29">
        <v>2</v>
      </c>
      <c r="F29">
        <v>4</v>
      </c>
      <c r="G29">
        <v>3</v>
      </c>
      <c r="H29">
        <v>3</v>
      </c>
      <c r="I29" t="s">
        <v>14</v>
      </c>
      <c r="J29">
        <v>0</v>
      </c>
      <c r="K29">
        <v>6</v>
      </c>
      <c r="L29">
        <v>41</v>
      </c>
      <c r="M29">
        <v>11</v>
      </c>
      <c r="N29">
        <v>2</v>
      </c>
      <c r="O29">
        <v>4</v>
      </c>
      <c r="P29">
        <v>3</v>
      </c>
      <c r="Q29">
        <v>3</v>
      </c>
    </row>
    <row r="30" spans="1:17" x14ac:dyDescent="0.3">
      <c r="A30">
        <v>0</v>
      </c>
      <c r="B30">
        <v>8</v>
      </c>
      <c r="C30">
        <v>38</v>
      </c>
      <c r="D30">
        <v>13</v>
      </c>
      <c r="E30">
        <v>6</v>
      </c>
      <c r="F30">
        <v>1</v>
      </c>
      <c r="G30">
        <v>4</v>
      </c>
      <c r="H30">
        <v>0</v>
      </c>
      <c r="I30" t="s">
        <v>14</v>
      </c>
      <c r="J30">
        <v>0</v>
      </c>
      <c r="K30">
        <v>8</v>
      </c>
      <c r="L30">
        <v>38</v>
      </c>
      <c r="M30">
        <v>13</v>
      </c>
      <c r="N30">
        <v>6</v>
      </c>
      <c r="O30">
        <v>1</v>
      </c>
      <c r="P30">
        <v>4</v>
      </c>
      <c r="Q30">
        <v>0</v>
      </c>
    </row>
    <row r="31" spans="1:17" x14ac:dyDescent="0.3">
      <c r="A31">
        <v>0</v>
      </c>
      <c r="B31">
        <v>5</v>
      </c>
      <c r="C31">
        <v>46</v>
      </c>
      <c r="D31">
        <v>7</v>
      </c>
      <c r="E31">
        <v>4</v>
      </c>
      <c r="F31">
        <v>5</v>
      </c>
      <c r="G31">
        <v>3</v>
      </c>
      <c r="H31">
        <v>0</v>
      </c>
      <c r="I31" t="s">
        <v>14</v>
      </c>
      <c r="J31">
        <v>0</v>
      </c>
      <c r="K31">
        <v>5</v>
      </c>
      <c r="L31">
        <v>46</v>
      </c>
      <c r="M31">
        <v>7</v>
      </c>
      <c r="N31">
        <v>4</v>
      </c>
      <c r="O31">
        <v>5</v>
      </c>
      <c r="P31">
        <v>3</v>
      </c>
      <c r="Q31">
        <v>0</v>
      </c>
    </row>
    <row r="32" spans="1:17" x14ac:dyDescent="0.3">
      <c r="A32">
        <v>0</v>
      </c>
      <c r="B32">
        <v>2</v>
      </c>
      <c r="C32">
        <v>41</v>
      </c>
      <c r="D32">
        <v>11</v>
      </c>
      <c r="E32">
        <v>6</v>
      </c>
      <c r="F32">
        <v>7</v>
      </c>
      <c r="G32">
        <v>2</v>
      </c>
      <c r="H32">
        <v>1</v>
      </c>
      <c r="I32" t="s">
        <v>14</v>
      </c>
      <c r="J32">
        <v>0</v>
      </c>
      <c r="K32">
        <v>2</v>
      </c>
      <c r="L32">
        <v>41</v>
      </c>
      <c r="M32">
        <v>11</v>
      </c>
      <c r="N32">
        <v>6</v>
      </c>
      <c r="O32">
        <v>7</v>
      </c>
      <c r="P32">
        <v>2</v>
      </c>
      <c r="Q32">
        <v>1</v>
      </c>
    </row>
    <row r="33" spans="1:17" x14ac:dyDescent="0.3">
      <c r="A33">
        <v>0</v>
      </c>
      <c r="B33">
        <v>2</v>
      </c>
      <c r="C33">
        <v>40</v>
      </c>
      <c r="D33">
        <v>10</v>
      </c>
      <c r="E33">
        <v>8</v>
      </c>
      <c r="F33">
        <v>3</v>
      </c>
      <c r="G33">
        <v>1</v>
      </c>
      <c r="H33">
        <v>6</v>
      </c>
      <c r="I33" t="s">
        <v>14</v>
      </c>
      <c r="J33">
        <v>0</v>
      </c>
      <c r="K33">
        <v>2</v>
      </c>
      <c r="L33">
        <v>40</v>
      </c>
      <c r="M33">
        <v>10</v>
      </c>
      <c r="N33">
        <v>8</v>
      </c>
      <c r="O33">
        <v>3</v>
      </c>
      <c r="P33">
        <v>1</v>
      </c>
      <c r="Q33">
        <v>6</v>
      </c>
    </row>
    <row r="34" spans="1:17" x14ac:dyDescent="0.3">
      <c r="A34">
        <v>0</v>
      </c>
      <c r="B34">
        <v>5</v>
      </c>
      <c r="C34">
        <v>43</v>
      </c>
      <c r="D34">
        <v>3</v>
      </c>
      <c r="E34">
        <v>7</v>
      </c>
      <c r="F34">
        <v>6</v>
      </c>
      <c r="G34">
        <v>3</v>
      </c>
      <c r="H34">
        <v>3</v>
      </c>
      <c r="I34" t="s">
        <v>14</v>
      </c>
      <c r="J34">
        <v>0</v>
      </c>
      <c r="K34">
        <v>5</v>
      </c>
      <c r="L34">
        <v>43</v>
      </c>
      <c r="M34">
        <v>3</v>
      </c>
      <c r="N34">
        <v>7</v>
      </c>
      <c r="O34">
        <v>6</v>
      </c>
      <c r="P34">
        <v>3</v>
      </c>
      <c r="Q34">
        <v>3</v>
      </c>
    </row>
    <row r="35" spans="1:17" x14ac:dyDescent="0.3">
      <c r="A35">
        <v>0</v>
      </c>
      <c r="B35">
        <v>6</v>
      </c>
      <c r="C35">
        <v>40</v>
      </c>
      <c r="D35">
        <v>9</v>
      </c>
      <c r="E35">
        <v>6</v>
      </c>
      <c r="F35">
        <v>2</v>
      </c>
      <c r="G35">
        <v>5</v>
      </c>
      <c r="H35">
        <v>2</v>
      </c>
      <c r="I35" t="s">
        <v>14</v>
      </c>
      <c r="J35">
        <v>0</v>
      </c>
      <c r="K35">
        <v>6</v>
      </c>
      <c r="L35">
        <v>40</v>
      </c>
      <c r="M35">
        <v>9</v>
      </c>
      <c r="N35">
        <v>6</v>
      </c>
      <c r="O35">
        <v>2</v>
      </c>
      <c r="P35">
        <v>5</v>
      </c>
      <c r="Q35">
        <v>2</v>
      </c>
    </row>
    <row r="36" spans="1:17" x14ac:dyDescent="0.3">
      <c r="A36">
        <v>0</v>
      </c>
      <c r="B36">
        <v>5</v>
      </c>
      <c r="C36">
        <v>41</v>
      </c>
      <c r="D36">
        <v>9</v>
      </c>
      <c r="E36">
        <v>4</v>
      </c>
      <c r="F36">
        <v>5</v>
      </c>
      <c r="G36">
        <v>1</v>
      </c>
      <c r="H36">
        <v>5</v>
      </c>
      <c r="I36" t="s">
        <v>14</v>
      </c>
      <c r="J36">
        <v>0</v>
      </c>
      <c r="K36">
        <v>5</v>
      </c>
      <c r="L36">
        <v>41</v>
      </c>
      <c r="M36">
        <v>9</v>
      </c>
      <c r="N36">
        <v>4</v>
      </c>
      <c r="O36">
        <v>5</v>
      </c>
      <c r="P36">
        <v>1</v>
      </c>
      <c r="Q36">
        <v>5</v>
      </c>
    </row>
    <row r="37" spans="1:17" x14ac:dyDescent="0.3">
      <c r="A37">
        <v>0</v>
      </c>
      <c r="B37">
        <v>5</v>
      </c>
      <c r="C37">
        <v>42</v>
      </c>
      <c r="D37">
        <v>8</v>
      </c>
      <c r="E37">
        <v>4</v>
      </c>
      <c r="F37">
        <v>4</v>
      </c>
      <c r="G37">
        <v>6</v>
      </c>
      <c r="H37">
        <v>1</v>
      </c>
      <c r="I37" t="s">
        <v>14</v>
      </c>
      <c r="J37">
        <v>0</v>
      </c>
      <c r="K37">
        <v>5</v>
      </c>
      <c r="L37">
        <v>42</v>
      </c>
      <c r="M37">
        <v>8</v>
      </c>
      <c r="N37">
        <v>4</v>
      </c>
      <c r="O37">
        <v>4</v>
      </c>
      <c r="P37">
        <v>6</v>
      </c>
      <c r="Q37">
        <v>1</v>
      </c>
    </row>
    <row r="38" spans="1:17" x14ac:dyDescent="0.3">
      <c r="A38">
        <v>0</v>
      </c>
      <c r="B38">
        <v>8</v>
      </c>
      <c r="C38">
        <v>35</v>
      </c>
      <c r="D38">
        <v>12</v>
      </c>
      <c r="E38">
        <v>4</v>
      </c>
      <c r="F38">
        <v>5</v>
      </c>
      <c r="G38">
        <v>3</v>
      </c>
      <c r="H38">
        <v>3</v>
      </c>
      <c r="I38" t="s">
        <v>14</v>
      </c>
      <c r="J38">
        <v>0</v>
      </c>
      <c r="K38">
        <v>8</v>
      </c>
      <c r="L38">
        <v>35</v>
      </c>
      <c r="M38">
        <v>12</v>
      </c>
      <c r="N38">
        <v>4</v>
      </c>
      <c r="O38">
        <v>5</v>
      </c>
      <c r="P38">
        <v>3</v>
      </c>
      <c r="Q38">
        <v>3</v>
      </c>
    </row>
    <row r="39" spans="1:17" x14ac:dyDescent="0.3">
      <c r="A39">
        <v>0</v>
      </c>
      <c r="B39">
        <v>5</v>
      </c>
      <c r="C39">
        <v>39</v>
      </c>
      <c r="D39">
        <v>12</v>
      </c>
      <c r="E39">
        <v>7</v>
      </c>
      <c r="F39">
        <v>5</v>
      </c>
      <c r="G39">
        <v>1</v>
      </c>
      <c r="H39">
        <v>1</v>
      </c>
      <c r="I39" t="s">
        <v>14</v>
      </c>
      <c r="J39">
        <v>0</v>
      </c>
      <c r="K39">
        <v>5</v>
      </c>
      <c r="L39">
        <v>39</v>
      </c>
      <c r="M39">
        <v>12</v>
      </c>
      <c r="N39">
        <v>7</v>
      </c>
      <c r="O39">
        <v>5</v>
      </c>
      <c r="P39">
        <v>1</v>
      </c>
      <c r="Q39">
        <v>1</v>
      </c>
    </row>
    <row r="40" spans="1:17" x14ac:dyDescent="0.3">
      <c r="A40">
        <v>0</v>
      </c>
      <c r="B40">
        <v>7</v>
      </c>
      <c r="C40">
        <v>39</v>
      </c>
      <c r="D40">
        <v>11</v>
      </c>
      <c r="E40">
        <v>5</v>
      </c>
      <c r="F40">
        <v>4</v>
      </c>
      <c r="G40">
        <v>3</v>
      </c>
      <c r="H40">
        <v>1</v>
      </c>
      <c r="I40" t="s">
        <v>14</v>
      </c>
      <c r="J40">
        <v>0</v>
      </c>
      <c r="K40">
        <v>7</v>
      </c>
      <c r="L40">
        <v>39</v>
      </c>
      <c r="M40">
        <v>11</v>
      </c>
      <c r="N40">
        <v>5</v>
      </c>
      <c r="O40">
        <v>4</v>
      </c>
      <c r="P40">
        <v>3</v>
      </c>
      <c r="Q40">
        <v>1</v>
      </c>
    </row>
    <row r="41" spans="1:17" x14ac:dyDescent="0.3">
      <c r="A41">
        <v>0</v>
      </c>
      <c r="B41">
        <v>5</v>
      </c>
      <c r="C41">
        <v>40</v>
      </c>
      <c r="D41">
        <v>10</v>
      </c>
      <c r="E41">
        <v>4</v>
      </c>
      <c r="F41">
        <v>2</v>
      </c>
      <c r="G41">
        <v>4</v>
      </c>
      <c r="H41">
        <v>5</v>
      </c>
      <c r="I41" t="s">
        <v>14</v>
      </c>
      <c r="J41">
        <v>0</v>
      </c>
      <c r="K41">
        <v>5</v>
      </c>
      <c r="L41">
        <v>40</v>
      </c>
      <c r="M41">
        <v>10</v>
      </c>
      <c r="N41">
        <v>4</v>
      </c>
      <c r="O41">
        <v>2</v>
      </c>
      <c r="P41">
        <v>4</v>
      </c>
      <c r="Q41">
        <v>5</v>
      </c>
    </row>
    <row r="42" spans="1:17" x14ac:dyDescent="0.3">
      <c r="A42">
        <v>0</v>
      </c>
      <c r="B42">
        <v>6</v>
      </c>
      <c r="C42">
        <v>39</v>
      </c>
      <c r="D42">
        <v>11</v>
      </c>
      <c r="E42">
        <v>7</v>
      </c>
      <c r="F42">
        <v>4</v>
      </c>
      <c r="G42">
        <v>2</v>
      </c>
      <c r="H42">
        <v>1</v>
      </c>
      <c r="I42" t="s">
        <v>14</v>
      </c>
      <c r="J42">
        <v>0</v>
      </c>
      <c r="K42">
        <v>6</v>
      </c>
      <c r="L42">
        <v>39</v>
      </c>
      <c r="M42">
        <v>11</v>
      </c>
      <c r="N42">
        <v>7</v>
      </c>
      <c r="O42">
        <v>4</v>
      </c>
      <c r="P42">
        <v>2</v>
      </c>
      <c r="Q42">
        <v>1</v>
      </c>
    </row>
    <row r="43" spans="1:17" x14ac:dyDescent="0.3">
      <c r="A43">
        <v>0</v>
      </c>
      <c r="B43">
        <v>3</v>
      </c>
      <c r="C43">
        <v>36</v>
      </c>
      <c r="D43">
        <v>11</v>
      </c>
      <c r="E43">
        <v>13</v>
      </c>
      <c r="F43">
        <v>3</v>
      </c>
      <c r="G43">
        <v>3</v>
      </c>
      <c r="H43">
        <v>1</v>
      </c>
      <c r="I43" t="s">
        <v>14</v>
      </c>
      <c r="J43">
        <v>0</v>
      </c>
      <c r="K43">
        <v>3</v>
      </c>
      <c r="L43">
        <v>36</v>
      </c>
      <c r="M43">
        <v>11</v>
      </c>
      <c r="N43">
        <v>13</v>
      </c>
      <c r="O43">
        <v>3</v>
      </c>
      <c r="P43">
        <v>3</v>
      </c>
      <c r="Q43">
        <v>1</v>
      </c>
    </row>
    <row r="44" spans="1:17" x14ac:dyDescent="0.3">
      <c r="A44">
        <v>0</v>
      </c>
      <c r="B44">
        <v>5</v>
      </c>
      <c r="C44">
        <v>29</v>
      </c>
      <c r="D44">
        <v>13</v>
      </c>
      <c r="E44">
        <v>11</v>
      </c>
      <c r="F44">
        <v>4</v>
      </c>
      <c r="G44">
        <v>7</v>
      </c>
      <c r="H44">
        <v>1</v>
      </c>
      <c r="I44" t="s">
        <v>14</v>
      </c>
      <c r="J44">
        <v>0</v>
      </c>
      <c r="K44">
        <v>5</v>
      </c>
      <c r="L44">
        <v>29</v>
      </c>
      <c r="M44">
        <v>13</v>
      </c>
      <c r="N44">
        <v>11</v>
      </c>
      <c r="O44">
        <v>4</v>
      </c>
      <c r="P44">
        <v>7</v>
      </c>
      <c r="Q44">
        <v>1</v>
      </c>
    </row>
    <row r="45" spans="1:17" x14ac:dyDescent="0.3">
      <c r="A45">
        <v>0</v>
      </c>
      <c r="B45">
        <v>3</v>
      </c>
      <c r="C45">
        <v>35</v>
      </c>
      <c r="D45">
        <v>19</v>
      </c>
      <c r="E45">
        <v>5</v>
      </c>
      <c r="F45">
        <v>2</v>
      </c>
      <c r="G45">
        <v>2</v>
      </c>
      <c r="H45">
        <v>4</v>
      </c>
      <c r="I45" t="s">
        <v>14</v>
      </c>
      <c r="J45">
        <v>0</v>
      </c>
      <c r="K45">
        <v>3</v>
      </c>
      <c r="L45">
        <v>35</v>
      </c>
      <c r="M45">
        <v>19</v>
      </c>
      <c r="N45">
        <v>5</v>
      </c>
      <c r="O45">
        <v>2</v>
      </c>
      <c r="P45">
        <v>2</v>
      </c>
      <c r="Q45">
        <v>4</v>
      </c>
    </row>
    <row r="46" spans="1:17" x14ac:dyDescent="0.3">
      <c r="A46">
        <v>0</v>
      </c>
      <c r="B46">
        <v>6</v>
      </c>
      <c r="C46">
        <v>38</v>
      </c>
      <c r="D46">
        <v>9</v>
      </c>
      <c r="E46">
        <v>4</v>
      </c>
      <c r="F46">
        <v>6</v>
      </c>
      <c r="G46">
        <v>6</v>
      </c>
      <c r="H46">
        <v>1</v>
      </c>
      <c r="I46" t="s">
        <v>14</v>
      </c>
      <c r="J46">
        <v>0</v>
      </c>
      <c r="K46">
        <v>6</v>
      </c>
      <c r="L46">
        <v>38</v>
      </c>
      <c r="M46">
        <v>9</v>
      </c>
      <c r="N46">
        <v>4</v>
      </c>
      <c r="O46">
        <v>6</v>
      </c>
      <c r="P46">
        <v>6</v>
      </c>
      <c r="Q46">
        <v>1</v>
      </c>
    </row>
    <row r="47" spans="1:17" x14ac:dyDescent="0.3">
      <c r="A47">
        <v>0</v>
      </c>
      <c r="B47">
        <v>5</v>
      </c>
      <c r="C47">
        <v>43</v>
      </c>
      <c r="D47">
        <v>10</v>
      </c>
      <c r="E47">
        <v>3</v>
      </c>
      <c r="F47">
        <v>4</v>
      </c>
      <c r="G47">
        <v>2</v>
      </c>
      <c r="H47">
        <v>3</v>
      </c>
      <c r="I47" t="s">
        <v>14</v>
      </c>
      <c r="J47">
        <v>0</v>
      </c>
      <c r="K47">
        <v>5</v>
      </c>
      <c r="L47">
        <v>43</v>
      </c>
      <c r="M47">
        <v>10</v>
      </c>
      <c r="N47">
        <v>3</v>
      </c>
      <c r="O47">
        <v>4</v>
      </c>
      <c r="P47">
        <v>2</v>
      </c>
      <c r="Q47">
        <v>3</v>
      </c>
    </row>
    <row r="48" spans="1:17" x14ac:dyDescent="0.3">
      <c r="A48">
        <v>0</v>
      </c>
      <c r="B48">
        <v>0</v>
      </c>
      <c r="C48">
        <v>47</v>
      </c>
      <c r="D48">
        <v>11</v>
      </c>
      <c r="E48">
        <v>5</v>
      </c>
      <c r="F48">
        <v>5</v>
      </c>
      <c r="G48">
        <v>1</v>
      </c>
      <c r="H48">
        <v>1</v>
      </c>
      <c r="I48" t="s">
        <v>14</v>
      </c>
      <c r="J48">
        <v>0</v>
      </c>
      <c r="K48">
        <v>0</v>
      </c>
      <c r="L48">
        <v>47</v>
      </c>
      <c r="M48">
        <v>11</v>
      </c>
      <c r="N48">
        <v>5</v>
      </c>
      <c r="O48">
        <v>5</v>
      </c>
      <c r="P48">
        <v>1</v>
      </c>
      <c r="Q48">
        <v>1</v>
      </c>
    </row>
    <row r="49" spans="1:17" x14ac:dyDescent="0.3">
      <c r="A49">
        <v>0</v>
      </c>
      <c r="B49">
        <v>5</v>
      </c>
      <c r="C49">
        <v>39</v>
      </c>
      <c r="D49">
        <v>14</v>
      </c>
      <c r="E49">
        <v>3</v>
      </c>
      <c r="F49">
        <v>3</v>
      </c>
      <c r="G49">
        <v>5</v>
      </c>
      <c r="H49">
        <v>1</v>
      </c>
      <c r="I49" t="s">
        <v>14</v>
      </c>
      <c r="J49">
        <v>0</v>
      </c>
      <c r="K49">
        <v>5</v>
      </c>
      <c r="L49">
        <v>39</v>
      </c>
      <c r="M49">
        <v>14</v>
      </c>
      <c r="N49">
        <v>3</v>
      </c>
      <c r="O49">
        <v>3</v>
      </c>
      <c r="P49">
        <v>5</v>
      </c>
      <c r="Q49">
        <v>1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90"/>
  <sheetViews>
    <sheetView topLeftCell="A43" workbookViewId="0">
      <selection activeCell="F28" sqref="F28"/>
    </sheetView>
  </sheetViews>
  <sheetFormatPr defaultRowHeight="14.4" x14ac:dyDescent="0.3"/>
  <sheetData>
    <row r="1" spans="1:8" x14ac:dyDescent="0.3">
      <c r="A1">
        <v>2</v>
      </c>
      <c r="B1">
        <v>0</v>
      </c>
      <c r="C1">
        <v>1</v>
      </c>
      <c r="D1">
        <v>1</v>
      </c>
      <c r="E1" t="s">
        <v>14</v>
      </c>
      <c r="F1">
        <v>0</v>
      </c>
      <c r="G1">
        <v>1</v>
      </c>
      <c r="H1">
        <v>1</v>
      </c>
    </row>
    <row r="2" spans="1:8" x14ac:dyDescent="0.3">
      <c r="A2">
        <v>2</v>
      </c>
      <c r="B2">
        <v>0</v>
      </c>
      <c r="C2">
        <v>1</v>
      </c>
      <c r="D2">
        <v>1</v>
      </c>
      <c r="E2" t="s">
        <v>14</v>
      </c>
      <c r="F2">
        <v>0</v>
      </c>
      <c r="G2">
        <v>0</v>
      </c>
      <c r="H2">
        <v>2</v>
      </c>
    </row>
    <row r="3" spans="1:8" x14ac:dyDescent="0.3">
      <c r="A3">
        <v>2</v>
      </c>
      <c r="B3">
        <v>0</v>
      </c>
      <c r="C3">
        <v>1</v>
      </c>
      <c r="D3">
        <v>1</v>
      </c>
      <c r="E3" t="s">
        <v>14</v>
      </c>
      <c r="F3">
        <v>0</v>
      </c>
      <c r="G3">
        <v>1</v>
      </c>
      <c r="H3">
        <v>1</v>
      </c>
    </row>
    <row r="4" spans="1:8" x14ac:dyDescent="0.3">
      <c r="A4">
        <v>2</v>
      </c>
      <c r="B4">
        <v>1</v>
      </c>
      <c r="C4">
        <v>0</v>
      </c>
      <c r="D4">
        <v>1</v>
      </c>
      <c r="E4" t="s">
        <v>14</v>
      </c>
      <c r="F4">
        <v>1</v>
      </c>
      <c r="G4">
        <v>0</v>
      </c>
      <c r="H4">
        <v>1</v>
      </c>
    </row>
    <row r="5" spans="1:8" x14ac:dyDescent="0.3">
      <c r="A5">
        <v>2</v>
      </c>
      <c r="B5">
        <v>1</v>
      </c>
      <c r="C5">
        <v>0</v>
      </c>
      <c r="D5">
        <v>1</v>
      </c>
      <c r="E5" t="s">
        <v>14</v>
      </c>
      <c r="F5">
        <v>0</v>
      </c>
      <c r="G5">
        <v>2</v>
      </c>
      <c r="H5">
        <v>0</v>
      </c>
    </row>
    <row r="6" spans="1:8" x14ac:dyDescent="0.3">
      <c r="A6">
        <v>3</v>
      </c>
      <c r="B6">
        <v>1</v>
      </c>
      <c r="C6">
        <v>1</v>
      </c>
      <c r="D6">
        <v>1</v>
      </c>
      <c r="E6" t="s">
        <v>14</v>
      </c>
      <c r="F6">
        <v>1</v>
      </c>
      <c r="G6">
        <v>1</v>
      </c>
      <c r="H6">
        <v>1</v>
      </c>
    </row>
    <row r="7" spans="1:8" x14ac:dyDescent="0.3">
      <c r="A7">
        <v>3</v>
      </c>
      <c r="B7">
        <v>1</v>
      </c>
      <c r="C7">
        <v>1</v>
      </c>
      <c r="D7">
        <v>1</v>
      </c>
      <c r="E7" t="s">
        <v>14</v>
      </c>
      <c r="F7">
        <v>0</v>
      </c>
      <c r="G7">
        <v>2</v>
      </c>
      <c r="H7">
        <v>1</v>
      </c>
    </row>
    <row r="8" spans="1:8" x14ac:dyDescent="0.3">
      <c r="A8">
        <v>3</v>
      </c>
      <c r="B8">
        <v>1</v>
      </c>
      <c r="C8">
        <v>1</v>
      </c>
      <c r="D8">
        <v>1</v>
      </c>
      <c r="E8" t="s">
        <v>14</v>
      </c>
      <c r="F8">
        <v>2</v>
      </c>
      <c r="G8">
        <v>1</v>
      </c>
      <c r="H8">
        <v>0</v>
      </c>
    </row>
    <row r="9" spans="1:8" x14ac:dyDescent="0.3">
      <c r="A9">
        <v>3</v>
      </c>
      <c r="B9">
        <v>1</v>
      </c>
      <c r="C9">
        <v>1</v>
      </c>
      <c r="D9">
        <v>1</v>
      </c>
      <c r="E9" t="s">
        <v>14</v>
      </c>
      <c r="F9">
        <v>1</v>
      </c>
      <c r="G9">
        <v>1</v>
      </c>
      <c r="H9">
        <v>1</v>
      </c>
    </row>
    <row r="10" spans="1:8" x14ac:dyDescent="0.3">
      <c r="A10">
        <v>3</v>
      </c>
      <c r="B10">
        <v>1</v>
      </c>
      <c r="C10">
        <v>1</v>
      </c>
      <c r="D10">
        <v>1</v>
      </c>
      <c r="E10" t="s">
        <v>14</v>
      </c>
      <c r="F10">
        <v>1</v>
      </c>
      <c r="G10">
        <v>0</v>
      </c>
      <c r="H10">
        <v>2</v>
      </c>
    </row>
    <row r="11" spans="1:8" x14ac:dyDescent="0.3">
      <c r="A11">
        <v>3</v>
      </c>
      <c r="B11">
        <v>1</v>
      </c>
      <c r="C11">
        <v>1</v>
      </c>
      <c r="D11">
        <v>1</v>
      </c>
      <c r="E11" t="s">
        <v>14</v>
      </c>
      <c r="F11">
        <v>1</v>
      </c>
      <c r="G11">
        <v>1</v>
      </c>
      <c r="H11">
        <v>1</v>
      </c>
    </row>
    <row r="12" spans="1:8" x14ac:dyDescent="0.3">
      <c r="A12">
        <v>3</v>
      </c>
      <c r="B12">
        <v>1</v>
      </c>
      <c r="C12">
        <v>1</v>
      </c>
      <c r="D12">
        <v>1</v>
      </c>
      <c r="E12" t="s">
        <v>14</v>
      </c>
      <c r="F12">
        <v>0</v>
      </c>
      <c r="G12">
        <v>2</v>
      </c>
      <c r="H12">
        <v>1</v>
      </c>
    </row>
    <row r="13" spans="1:8" x14ac:dyDescent="0.3">
      <c r="A13">
        <v>3</v>
      </c>
      <c r="B13">
        <v>1</v>
      </c>
      <c r="C13">
        <v>1</v>
      </c>
      <c r="D13">
        <v>1</v>
      </c>
      <c r="E13" t="s">
        <v>14</v>
      </c>
      <c r="F13">
        <v>2</v>
      </c>
      <c r="G13">
        <v>1</v>
      </c>
      <c r="H13">
        <v>0</v>
      </c>
    </row>
    <row r="14" spans="1:8" x14ac:dyDescent="0.3">
      <c r="A14">
        <v>3</v>
      </c>
      <c r="B14">
        <v>1</v>
      </c>
      <c r="C14">
        <v>1</v>
      </c>
      <c r="D14">
        <v>1</v>
      </c>
      <c r="E14" t="s">
        <v>14</v>
      </c>
      <c r="F14">
        <v>1</v>
      </c>
      <c r="G14">
        <v>1</v>
      </c>
      <c r="H14">
        <v>1</v>
      </c>
    </row>
    <row r="15" spans="1:8" x14ac:dyDescent="0.3">
      <c r="A15">
        <v>3</v>
      </c>
      <c r="B15">
        <v>1</v>
      </c>
      <c r="C15">
        <v>1</v>
      </c>
      <c r="D15">
        <v>1</v>
      </c>
      <c r="E15" t="s">
        <v>14</v>
      </c>
      <c r="F15">
        <v>0</v>
      </c>
      <c r="G15">
        <v>2</v>
      </c>
      <c r="H15">
        <v>1</v>
      </c>
    </row>
    <row r="16" spans="1:8" x14ac:dyDescent="0.3">
      <c r="A16">
        <v>3</v>
      </c>
      <c r="B16">
        <v>1</v>
      </c>
      <c r="C16">
        <v>1</v>
      </c>
      <c r="D16">
        <v>1</v>
      </c>
      <c r="E16" t="s">
        <v>14</v>
      </c>
      <c r="F16">
        <v>1</v>
      </c>
      <c r="G16">
        <v>1</v>
      </c>
      <c r="H16">
        <v>1</v>
      </c>
    </row>
    <row r="17" spans="1:8" x14ac:dyDescent="0.3">
      <c r="A17">
        <v>3</v>
      </c>
      <c r="B17">
        <v>1</v>
      </c>
      <c r="C17">
        <v>1</v>
      </c>
      <c r="D17">
        <v>1</v>
      </c>
      <c r="E17" t="s">
        <v>14</v>
      </c>
      <c r="F17">
        <v>1</v>
      </c>
      <c r="G17">
        <v>1</v>
      </c>
      <c r="H17">
        <v>1</v>
      </c>
    </row>
    <row r="18" spans="1:8" x14ac:dyDescent="0.3">
      <c r="A18">
        <v>3</v>
      </c>
      <c r="B18">
        <v>1</v>
      </c>
      <c r="C18">
        <v>1</v>
      </c>
      <c r="D18">
        <v>1</v>
      </c>
      <c r="E18" t="s">
        <v>14</v>
      </c>
      <c r="F18">
        <v>0</v>
      </c>
      <c r="G18">
        <v>2</v>
      </c>
      <c r="H18">
        <v>1</v>
      </c>
    </row>
    <row r="19" spans="1:8" x14ac:dyDescent="0.3">
      <c r="A19">
        <v>3</v>
      </c>
      <c r="B19">
        <v>1</v>
      </c>
      <c r="C19">
        <v>0</v>
      </c>
      <c r="D19">
        <v>2</v>
      </c>
      <c r="E19" t="s">
        <v>14</v>
      </c>
      <c r="F19">
        <v>1</v>
      </c>
      <c r="G19">
        <v>0</v>
      </c>
      <c r="H19">
        <v>2</v>
      </c>
    </row>
    <row r="20" spans="1:8" x14ac:dyDescent="0.3">
      <c r="A20">
        <v>3</v>
      </c>
      <c r="B20">
        <v>1</v>
      </c>
      <c r="C20">
        <v>1</v>
      </c>
      <c r="D20">
        <v>1</v>
      </c>
      <c r="E20" t="s">
        <v>14</v>
      </c>
      <c r="F20">
        <v>1</v>
      </c>
      <c r="G20">
        <v>1</v>
      </c>
      <c r="H20">
        <v>1</v>
      </c>
    </row>
    <row r="21" spans="1:8" x14ac:dyDescent="0.3">
      <c r="A21">
        <v>3</v>
      </c>
      <c r="B21">
        <v>1</v>
      </c>
      <c r="C21">
        <v>1</v>
      </c>
      <c r="D21">
        <v>1</v>
      </c>
      <c r="E21" t="s">
        <v>14</v>
      </c>
      <c r="F21">
        <v>2</v>
      </c>
      <c r="G21">
        <v>1</v>
      </c>
      <c r="H21">
        <v>0</v>
      </c>
    </row>
    <row r="22" spans="1:8" x14ac:dyDescent="0.3">
      <c r="A22">
        <v>3</v>
      </c>
      <c r="B22">
        <v>1</v>
      </c>
      <c r="C22">
        <v>0</v>
      </c>
      <c r="D22">
        <v>2</v>
      </c>
      <c r="E22" t="s">
        <v>14</v>
      </c>
      <c r="F22">
        <v>1</v>
      </c>
      <c r="G22">
        <v>0</v>
      </c>
      <c r="H22">
        <v>2</v>
      </c>
    </row>
    <row r="23" spans="1:8" x14ac:dyDescent="0.3">
      <c r="A23">
        <v>3</v>
      </c>
      <c r="B23">
        <v>1</v>
      </c>
      <c r="C23">
        <v>1</v>
      </c>
      <c r="D23">
        <v>1</v>
      </c>
      <c r="E23" t="s">
        <v>14</v>
      </c>
      <c r="F23">
        <v>1</v>
      </c>
      <c r="G23">
        <v>0</v>
      </c>
      <c r="H23">
        <v>2</v>
      </c>
    </row>
    <row r="24" spans="1:8" x14ac:dyDescent="0.3">
      <c r="A24">
        <v>3</v>
      </c>
      <c r="B24">
        <v>1</v>
      </c>
      <c r="C24">
        <v>1</v>
      </c>
      <c r="D24">
        <v>1</v>
      </c>
      <c r="E24" t="s">
        <v>14</v>
      </c>
      <c r="F24">
        <v>2</v>
      </c>
      <c r="G24">
        <v>1</v>
      </c>
      <c r="H24">
        <v>0</v>
      </c>
    </row>
    <row r="25" spans="1:8" x14ac:dyDescent="0.3">
      <c r="A25">
        <v>3</v>
      </c>
      <c r="B25">
        <v>1</v>
      </c>
      <c r="C25">
        <v>1</v>
      </c>
      <c r="D25">
        <v>1</v>
      </c>
      <c r="E25" t="s">
        <v>14</v>
      </c>
      <c r="F25">
        <v>1</v>
      </c>
      <c r="G25">
        <v>1</v>
      </c>
      <c r="H25">
        <v>1</v>
      </c>
    </row>
    <row r="26" spans="1:8" x14ac:dyDescent="0.3">
      <c r="A26">
        <v>3</v>
      </c>
      <c r="B26">
        <v>1</v>
      </c>
      <c r="C26">
        <v>1</v>
      </c>
      <c r="D26">
        <v>1</v>
      </c>
      <c r="E26" t="s">
        <v>14</v>
      </c>
      <c r="F26">
        <v>2</v>
      </c>
      <c r="G26">
        <v>1</v>
      </c>
      <c r="H26">
        <v>0</v>
      </c>
    </row>
    <row r="27" spans="1:8" x14ac:dyDescent="0.3">
      <c r="A27">
        <v>3</v>
      </c>
      <c r="B27">
        <v>1</v>
      </c>
      <c r="C27">
        <v>0</v>
      </c>
      <c r="D27">
        <v>2</v>
      </c>
      <c r="E27" t="s">
        <v>14</v>
      </c>
      <c r="F27">
        <v>0</v>
      </c>
      <c r="G27">
        <v>2</v>
      </c>
      <c r="H27">
        <v>1</v>
      </c>
    </row>
    <row r="28" spans="1:8" x14ac:dyDescent="0.3">
      <c r="A28">
        <v>3</v>
      </c>
      <c r="B28">
        <v>2</v>
      </c>
      <c r="C28">
        <v>1</v>
      </c>
      <c r="D28">
        <v>0</v>
      </c>
      <c r="E28" t="s">
        <v>14</v>
      </c>
      <c r="F28">
        <v>2</v>
      </c>
      <c r="G28">
        <v>1</v>
      </c>
      <c r="H28">
        <v>0</v>
      </c>
    </row>
    <row r="29" spans="1:8" x14ac:dyDescent="0.3">
      <c r="A29">
        <v>3</v>
      </c>
      <c r="B29">
        <v>1</v>
      </c>
      <c r="C29">
        <v>1</v>
      </c>
      <c r="D29">
        <v>1</v>
      </c>
      <c r="E29" t="s">
        <v>14</v>
      </c>
      <c r="F29">
        <v>1</v>
      </c>
      <c r="G29">
        <v>1</v>
      </c>
      <c r="H29">
        <v>1</v>
      </c>
    </row>
    <row r="30" spans="1:8" x14ac:dyDescent="0.3">
      <c r="A30">
        <v>3</v>
      </c>
      <c r="B30">
        <v>1</v>
      </c>
      <c r="C30">
        <v>0</v>
      </c>
      <c r="D30">
        <v>2</v>
      </c>
      <c r="E30" t="s">
        <v>14</v>
      </c>
      <c r="F30">
        <v>1</v>
      </c>
      <c r="G30">
        <v>0</v>
      </c>
      <c r="H30">
        <v>2</v>
      </c>
    </row>
    <row r="31" spans="1:8" x14ac:dyDescent="0.3">
      <c r="A31">
        <v>3</v>
      </c>
      <c r="B31">
        <v>1</v>
      </c>
      <c r="C31">
        <v>1</v>
      </c>
      <c r="D31">
        <v>1</v>
      </c>
      <c r="E31" t="s">
        <v>14</v>
      </c>
      <c r="F31">
        <v>1</v>
      </c>
      <c r="G31">
        <v>1</v>
      </c>
      <c r="H31">
        <v>1</v>
      </c>
    </row>
    <row r="32" spans="1:8" x14ac:dyDescent="0.3">
      <c r="A32">
        <v>3</v>
      </c>
      <c r="B32">
        <v>1</v>
      </c>
      <c r="C32">
        <v>1</v>
      </c>
      <c r="D32">
        <v>1</v>
      </c>
      <c r="E32" t="s">
        <v>14</v>
      </c>
      <c r="F32">
        <v>0</v>
      </c>
      <c r="G32">
        <v>2</v>
      </c>
      <c r="H32">
        <v>1</v>
      </c>
    </row>
    <row r="33" spans="1:8" x14ac:dyDescent="0.3">
      <c r="A33">
        <v>3</v>
      </c>
      <c r="B33">
        <v>1</v>
      </c>
      <c r="C33">
        <v>1</v>
      </c>
      <c r="D33">
        <v>1</v>
      </c>
      <c r="E33" t="s">
        <v>14</v>
      </c>
      <c r="F33">
        <v>1</v>
      </c>
      <c r="G33">
        <v>0</v>
      </c>
      <c r="H33">
        <v>2</v>
      </c>
    </row>
    <row r="34" spans="1:8" x14ac:dyDescent="0.3">
      <c r="A34">
        <v>3</v>
      </c>
      <c r="B34">
        <v>1</v>
      </c>
      <c r="C34">
        <v>1</v>
      </c>
      <c r="D34">
        <v>1</v>
      </c>
      <c r="E34" t="s">
        <v>14</v>
      </c>
      <c r="F34">
        <v>1</v>
      </c>
      <c r="G34">
        <v>1</v>
      </c>
      <c r="H34">
        <v>1</v>
      </c>
    </row>
    <row r="35" spans="1:8" x14ac:dyDescent="0.3">
      <c r="A35">
        <v>3</v>
      </c>
      <c r="B35">
        <v>1</v>
      </c>
      <c r="C35">
        <v>1</v>
      </c>
      <c r="D35">
        <v>1</v>
      </c>
      <c r="E35" t="s">
        <v>14</v>
      </c>
      <c r="F35">
        <v>2</v>
      </c>
      <c r="G35">
        <v>1</v>
      </c>
      <c r="H35">
        <v>0</v>
      </c>
    </row>
    <row r="36" spans="1:8" x14ac:dyDescent="0.3">
      <c r="A36">
        <v>3</v>
      </c>
      <c r="B36">
        <v>1</v>
      </c>
      <c r="C36">
        <v>1</v>
      </c>
      <c r="D36">
        <v>1</v>
      </c>
      <c r="E36" t="s">
        <v>14</v>
      </c>
      <c r="F36">
        <v>0</v>
      </c>
      <c r="G36">
        <v>2</v>
      </c>
      <c r="H36">
        <v>1</v>
      </c>
    </row>
    <row r="37" spans="1:8" x14ac:dyDescent="0.3">
      <c r="A37">
        <v>3</v>
      </c>
      <c r="B37">
        <v>1</v>
      </c>
      <c r="C37">
        <v>1</v>
      </c>
      <c r="D37">
        <v>1</v>
      </c>
      <c r="E37" t="s">
        <v>14</v>
      </c>
      <c r="F37">
        <v>1</v>
      </c>
      <c r="G37">
        <v>1</v>
      </c>
      <c r="H37">
        <v>1</v>
      </c>
    </row>
    <row r="38" spans="1:8" x14ac:dyDescent="0.3">
      <c r="A38">
        <v>3</v>
      </c>
      <c r="B38">
        <v>1</v>
      </c>
      <c r="C38">
        <v>1</v>
      </c>
      <c r="D38">
        <v>1</v>
      </c>
      <c r="E38" t="s">
        <v>14</v>
      </c>
      <c r="F38">
        <v>1</v>
      </c>
      <c r="G38">
        <v>0</v>
      </c>
      <c r="H38">
        <v>2</v>
      </c>
    </row>
    <row r="39" spans="1:8" x14ac:dyDescent="0.3">
      <c r="A39">
        <v>3</v>
      </c>
      <c r="B39">
        <v>2</v>
      </c>
      <c r="C39">
        <v>1</v>
      </c>
      <c r="D39">
        <v>0</v>
      </c>
      <c r="E39" t="s">
        <v>14</v>
      </c>
      <c r="F39">
        <v>1</v>
      </c>
      <c r="G39">
        <v>0</v>
      </c>
      <c r="H39">
        <v>2</v>
      </c>
    </row>
    <row r="40" spans="1:8" x14ac:dyDescent="0.3">
      <c r="A40">
        <v>3</v>
      </c>
      <c r="B40">
        <v>0</v>
      </c>
      <c r="C40">
        <v>2</v>
      </c>
      <c r="D40">
        <v>1</v>
      </c>
      <c r="E40" t="s">
        <v>14</v>
      </c>
      <c r="F40">
        <v>2</v>
      </c>
      <c r="G40">
        <v>1</v>
      </c>
      <c r="H40">
        <v>0</v>
      </c>
    </row>
    <row r="41" spans="1:8" x14ac:dyDescent="0.3">
      <c r="A41">
        <v>3</v>
      </c>
      <c r="B41">
        <v>1</v>
      </c>
      <c r="C41">
        <v>1</v>
      </c>
      <c r="D41">
        <v>1</v>
      </c>
      <c r="E41" t="s">
        <v>14</v>
      </c>
      <c r="F41">
        <v>1</v>
      </c>
      <c r="G41">
        <v>1</v>
      </c>
      <c r="H41">
        <v>1</v>
      </c>
    </row>
    <row r="42" spans="1:8" x14ac:dyDescent="0.3">
      <c r="A42">
        <v>3</v>
      </c>
      <c r="B42">
        <v>1</v>
      </c>
      <c r="C42">
        <v>1</v>
      </c>
      <c r="D42">
        <v>1</v>
      </c>
      <c r="E42" t="s">
        <v>14</v>
      </c>
      <c r="F42">
        <v>1</v>
      </c>
      <c r="G42">
        <v>1</v>
      </c>
      <c r="H42">
        <v>1</v>
      </c>
    </row>
    <row r="43" spans="1:8" x14ac:dyDescent="0.3">
      <c r="A43">
        <v>3</v>
      </c>
      <c r="B43">
        <v>1</v>
      </c>
      <c r="C43">
        <v>1</v>
      </c>
      <c r="D43">
        <v>1</v>
      </c>
      <c r="E43" t="s">
        <v>14</v>
      </c>
      <c r="F43">
        <v>1</v>
      </c>
      <c r="G43">
        <v>1</v>
      </c>
      <c r="H43">
        <v>1</v>
      </c>
    </row>
    <row r="44" spans="1:8" x14ac:dyDescent="0.3">
      <c r="A44">
        <v>4</v>
      </c>
      <c r="B44">
        <v>2</v>
      </c>
      <c r="C44">
        <v>1</v>
      </c>
      <c r="D44">
        <v>1</v>
      </c>
      <c r="E44" t="s">
        <v>14</v>
      </c>
      <c r="F44">
        <v>2</v>
      </c>
      <c r="G44">
        <v>0</v>
      </c>
      <c r="H44">
        <v>2</v>
      </c>
    </row>
    <row r="45" spans="1:8" x14ac:dyDescent="0.3">
      <c r="A45">
        <v>4</v>
      </c>
      <c r="B45">
        <v>1</v>
      </c>
      <c r="C45">
        <v>2</v>
      </c>
      <c r="D45">
        <v>1</v>
      </c>
      <c r="E45" t="s">
        <v>14</v>
      </c>
      <c r="F45">
        <v>0</v>
      </c>
      <c r="G45">
        <v>2</v>
      </c>
      <c r="H45">
        <v>2</v>
      </c>
    </row>
    <row r="46" spans="1:8" x14ac:dyDescent="0.3">
      <c r="A46">
        <v>4</v>
      </c>
      <c r="B46">
        <v>1</v>
      </c>
      <c r="C46">
        <v>1</v>
      </c>
      <c r="D46">
        <v>2</v>
      </c>
      <c r="E46" t="s">
        <v>14</v>
      </c>
      <c r="F46">
        <v>1</v>
      </c>
      <c r="G46">
        <v>1</v>
      </c>
      <c r="H46">
        <v>2</v>
      </c>
    </row>
    <row r="47" spans="1:8" x14ac:dyDescent="0.3">
      <c r="A47">
        <v>4</v>
      </c>
      <c r="B47">
        <v>1</v>
      </c>
      <c r="C47">
        <v>1</v>
      </c>
      <c r="D47">
        <v>2</v>
      </c>
      <c r="E47" t="s">
        <v>14</v>
      </c>
      <c r="F47">
        <v>1</v>
      </c>
      <c r="G47">
        <v>1</v>
      </c>
      <c r="H47">
        <v>2</v>
      </c>
    </row>
    <row r="48" spans="1:8" x14ac:dyDescent="0.3">
      <c r="A48">
        <v>4</v>
      </c>
      <c r="B48">
        <v>1</v>
      </c>
      <c r="C48">
        <v>1</v>
      </c>
      <c r="D48">
        <v>2</v>
      </c>
      <c r="E48" t="s">
        <v>14</v>
      </c>
      <c r="F48">
        <v>0</v>
      </c>
      <c r="G48">
        <v>2</v>
      </c>
      <c r="H48">
        <v>2</v>
      </c>
    </row>
    <row r="49" spans="1:8" x14ac:dyDescent="0.3">
      <c r="A49">
        <v>4</v>
      </c>
      <c r="B49">
        <v>2</v>
      </c>
      <c r="C49">
        <v>1</v>
      </c>
      <c r="D49">
        <v>1</v>
      </c>
      <c r="E49" t="s">
        <v>14</v>
      </c>
      <c r="F49">
        <v>2</v>
      </c>
      <c r="G49">
        <v>1</v>
      </c>
      <c r="H49">
        <v>1</v>
      </c>
    </row>
    <row r="50" spans="1:8" x14ac:dyDescent="0.3">
      <c r="A50">
        <v>4</v>
      </c>
      <c r="B50">
        <v>2</v>
      </c>
      <c r="C50">
        <v>1</v>
      </c>
      <c r="D50">
        <v>1</v>
      </c>
      <c r="E50" t="s">
        <v>14</v>
      </c>
      <c r="F50">
        <v>2</v>
      </c>
      <c r="G50">
        <v>1</v>
      </c>
      <c r="H50">
        <v>1</v>
      </c>
    </row>
    <row r="51" spans="1:8" x14ac:dyDescent="0.3">
      <c r="A51">
        <v>4</v>
      </c>
      <c r="B51">
        <v>1</v>
      </c>
      <c r="C51">
        <v>2</v>
      </c>
      <c r="D51">
        <v>1</v>
      </c>
      <c r="E51" t="s">
        <v>14</v>
      </c>
      <c r="F51">
        <v>1</v>
      </c>
      <c r="G51">
        <v>2</v>
      </c>
      <c r="H51">
        <v>1</v>
      </c>
    </row>
    <row r="52" spans="1:8" x14ac:dyDescent="0.3">
      <c r="A52">
        <v>4</v>
      </c>
      <c r="B52">
        <v>1</v>
      </c>
      <c r="C52">
        <v>2</v>
      </c>
      <c r="D52">
        <v>1</v>
      </c>
      <c r="E52" t="s">
        <v>14</v>
      </c>
      <c r="F52">
        <v>1</v>
      </c>
      <c r="G52">
        <v>2</v>
      </c>
      <c r="H52">
        <v>1</v>
      </c>
    </row>
    <row r="53" spans="1:8" x14ac:dyDescent="0.3">
      <c r="A53">
        <v>4</v>
      </c>
      <c r="B53">
        <v>1</v>
      </c>
      <c r="C53">
        <v>1</v>
      </c>
      <c r="D53">
        <v>2</v>
      </c>
      <c r="E53" t="s">
        <v>14</v>
      </c>
      <c r="F53">
        <v>1</v>
      </c>
      <c r="G53">
        <v>1</v>
      </c>
      <c r="H53">
        <v>2</v>
      </c>
    </row>
    <row r="54" spans="1:8" x14ac:dyDescent="0.3">
      <c r="A54">
        <v>4</v>
      </c>
      <c r="B54">
        <v>1</v>
      </c>
      <c r="C54">
        <v>2</v>
      </c>
      <c r="D54">
        <v>1</v>
      </c>
      <c r="E54" t="s">
        <v>14</v>
      </c>
      <c r="F54">
        <v>2</v>
      </c>
      <c r="G54">
        <v>2</v>
      </c>
      <c r="H54">
        <v>0</v>
      </c>
    </row>
    <row r="55" spans="1:8" x14ac:dyDescent="0.3">
      <c r="A55">
        <v>4</v>
      </c>
      <c r="B55">
        <v>1</v>
      </c>
      <c r="C55">
        <v>2</v>
      </c>
      <c r="D55">
        <v>1</v>
      </c>
      <c r="E55" t="s">
        <v>14</v>
      </c>
      <c r="F55">
        <v>1</v>
      </c>
      <c r="G55">
        <v>2</v>
      </c>
      <c r="H55">
        <v>1</v>
      </c>
    </row>
    <row r="56" spans="1:8" x14ac:dyDescent="0.3">
      <c r="A56">
        <v>5</v>
      </c>
      <c r="B56">
        <v>2</v>
      </c>
      <c r="C56">
        <v>1</v>
      </c>
      <c r="D56">
        <v>2</v>
      </c>
      <c r="E56" t="s">
        <v>14</v>
      </c>
      <c r="F56">
        <v>0</v>
      </c>
      <c r="G56">
        <v>2</v>
      </c>
      <c r="H56">
        <v>3</v>
      </c>
    </row>
    <row r="57" spans="1:8" x14ac:dyDescent="0.3">
      <c r="A57">
        <v>5</v>
      </c>
      <c r="B57">
        <v>1</v>
      </c>
      <c r="C57">
        <v>2</v>
      </c>
      <c r="D57">
        <v>2</v>
      </c>
      <c r="E57" t="s">
        <v>14</v>
      </c>
      <c r="F57">
        <v>3</v>
      </c>
      <c r="G57">
        <v>0</v>
      </c>
      <c r="H57">
        <v>2</v>
      </c>
    </row>
    <row r="58" spans="1:8" x14ac:dyDescent="0.3">
      <c r="A58">
        <v>5</v>
      </c>
      <c r="B58">
        <v>2</v>
      </c>
      <c r="C58">
        <v>1</v>
      </c>
      <c r="D58">
        <v>2</v>
      </c>
      <c r="E58" t="s">
        <v>14</v>
      </c>
      <c r="F58">
        <v>2</v>
      </c>
      <c r="G58">
        <v>1</v>
      </c>
      <c r="H58">
        <v>2</v>
      </c>
    </row>
    <row r="59" spans="1:8" x14ac:dyDescent="0.3">
      <c r="A59">
        <v>5</v>
      </c>
      <c r="B59">
        <v>2</v>
      </c>
      <c r="C59">
        <v>2</v>
      </c>
      <c r="D59">
        <v>1</v>
      </c>
      <c r="E59" t="s">
        <v>14</v>
      </c>
      <c r="F59">
        <v>2</v>
      </c>
      <c r="G59">
        <v>2</v>
      </c>
      <c r="H59">
        <v>1</v>
      </c>
    </row>
    <row r="60" spans="1:8" x14ac:dyDescent="0.3">
      <c r="A60">
        <v>5</v>
      </c>
      <c r="B60">
        <v>1</v>
      </c>
      <c r="C60">
        <v>2</v>
      </c>
      <c r="D60">
        <v>2</v>
      </c>
      <c r="E60" t="s">
        <v>14</v>
      </c>
      <c r="F60">
        <v>2</v>
      </c>
      <c r="G60">
        <v>3</v>
      </c>
      <c r="H60">
        <v>0</v>
      </c>
    </row>
    <row r="61" spans="1:8" x14ac:dyDescent="0.3">
      <c r="A61">
        <v>5</v>
      </c>
      <c r="B61">
        <v>1</v>
      </c>
      <c r="C61">
        <v>2</v>
      </c>
      <c r="D61">
        <v>2</v>
      </c>
      <c r="E61" t="s">
        <v>14</v>
      </c>
      <c r="F61">
        <v>1</v>
      </c>
      <c r="G61">
        <v>2</v>
      </c>
      <c r="H61">
        <v>2</v>
      </c>
    </row>
    <row r="62" spans="1:8" x14ac:dyDescent="0.3">
      <c r="A62">
        <v>6</v>
      </c>
      <c r="B62">
        <v>3</v>
      </c>
      <c r="C62">
        <v>1</v>
      </c>
      <c r="D62">
        <v>2</v>
      </c>
      <c r="E62" t="s">
        <v>14</v>
      </c>
      <c r="F62">
        <v>3</v>
      </c>
      <c r="G62">
        <v>1</v>
      </c>
      <c r="H62">
        <v>2</v>
      </c>
    </row>
    <row r="63" spans="1:8" x14ac:dyDescent="0.3">
      <c r="A63">
        <v>6</v>
      </c>
      <c r="B63">
        <v>2</v>
      </c>
      <c r="C63">
        <v>2</v>
      </c>
      <c r="D63">
        <v>2</v>
      </c>
      <c r="E63" t="s">
        <v>14</v>
      </c>
      <c r="F63">
        <v>2</v>
      </c>
      <c r="G63">
        <v>2</v>
      </c>
      <c r="H63">
        <v>2</v>
      </c>
    </row>
    <row r="64" spans="1:8" x14ac:dyDescent="0.3">
      <c r="A64">
        <v>6</v>
      </c>
      <c r="B64">
        <v>1</v>
      </c>
      <c r="C64">
        <v>2</v>
      </c>
      <c r="D64">
        <v>3</v>
      </c>
      <c r="E64" t="s">
        <v>14</v>
      </c>
      <c r="F64">
        <v>1</v>
      </c>
      <c r="G64">
        <v>2</v>
      </c>
      <c r="H64">
        <v>3</v>
      </c>
    </row>
    <row r="65" spans="1:8" x14ac:dyDescent="0.3">
      <c r="A65">
        <v>6</v>
      </c>
      <c r="B65">
        <v>2</v>
      </c>
      <c r="C65">
        <v>3</v>
      </c>
      <c r="D65">
        <v>1</v>
      </c>
      <c r="E65" t="s">
        <v>14</v>
      </c>
      <c r="F65">
        <v>2</v>
      </c>
      <c r="G65">
        <v>3</v>
      </c>
      <c r="H65">
        <v>1</v>
      </c>
    </row>
    <row r="66" spans="1:8" x14ac:dyDescent="0.3">
      <c r="A66">
        <v>6</v>
      </c>
      <c r="B66">
        <v>2</v>
      </c>
      <c r="C66">
        <v>2</v>
      </c>
      <c r="D66">
        <v>2</v>
      </c>
      <c r="E66" t="s">
        <v>14</v>
      </c>
      <c r="F66">
        <v>2</v>
      </c>
      <c r="G66">
        <v>2</v>
      </c>
      <c r="H66">
        <v>2</v>
      </c>
    </row>
    <row r="67" spans="1:8" x14ac:dyDescent="0.3">
      <c r="A67">
        <v>6</v>
      </c>
      <c r="B67">
        <v>3</v>
      </c>
      <c r="C67">
        <v>1</v>
      </c>
      <c r="D67">
        <v>2</v>
      </c>
      <c r="E67" t="s">
        <v>14</v>
      </c>
      <c r="F67">
        <v>3</v>
      </c>
      <c r="G67">
        <v>1</v>
      </c>
      <c r="H67">
        <v>2</v>
      </c>
    </row>
    <row r="68" spans="1:8" x14ac:dyDescent="0.3">
      <c r="A68">
        <v>7</v>
      </c>
      <c r="B68">
        <v>3</v>
      </c>
      <c r="C68">
        <v>2</v>
      </c>
      <c r="D68">
        <v>2</v>
      </c>
      <c r="E68" t="s">
        <v>14</v>
      </c>
      <c r="F68">
        <v>3</v>
      </c>
      <c r="G68">
        <v>2</v>
      </c>
      <c r="H68">
        <v>2</v>
      </c>
    </row>
    <row r="69" spans="1:8" x14ac:dyDescent="0.3">
      <c r="A69">
        <v>8</v>
      </c>
      <c r="B69">
        <v>3</v>
      </c>
      <c r="C69">
        <v>3</v>
      </c>
      <c r="D69">
        <v>2</v>
      </c>
      <c r="E69" t="s">
        <v>14</v>
      </c>
      <c r="F69">
        <v>3</v>
      </c>
      <c r="G69">
        <v>3</v>
      </c>
      <c r="H69">
        <v>2</v>
      </c>
    </row>
    <row r="70" spans="1:8" x14ac:dyDescent="0.3">
      <c r="A70">
        <v>8</v>
      </c>
      <c r="B70">
        <v>3</v>
      </c>
      <c r="C70">
        <v>3</v>
      </c>
      <c r="D70">
        <v>2</v>
      </c>
      <c r="E70" t="s">
        <v>14</v>
      </c>
      <c r="F70">
        <v>3</v>
      </c>
      <c r="G70">
        <v>3</v>
      </c>
      <c r="H70">
        <v>2</v>
      </c>
    </row>
    <row r="71" spans="1:8" x14ac:dyDescent="0.3">
      <c r="A71">
        <v>2</v>
      </c>
      <c r="B71">
        <v>1</v>
      </c>
      <c r="C71">
        <v>0</v>
      </c>
      <c r="D71">
        <v>1</v>
      </c>
      <c r="E71" t="s">
        <v>14</v>
      </c>
      <c r="F71">
        <v>2</v>
      </c>
      <c r="G71">
        <v>0</v>
      </c>
      <c r="H71">
        <v>0</v>
      </c>
    </row>
    <row r="72" spans="1:8" x14ac:dyDescent="0.3">
      <c r="A72">
        <v>2</v>
      </c>
      <c r="B72">
        <v>1</v>
      </c>
      <c r="C72">
        <v>1</v>
      </c>
      <c r="D72">
        <v>0</v>
      </c>
      <c r="E72" t="s">
        <v>14</v>
      </c>
      <c r="F72">
        <v>0</v>
      </c>
      <c r="G72">
        <v>2</v>
      </c>
      <c r="H72">
        <v>0</v>
      </c>
    </row>
    <row r="73" spans="1:8" x14ac:dyDescent="0.3">
      <c r="A73">
        <v>3</v>
      </c>
      <c r="B73">
        <v>2</v>
      </c>
      <c r="C73">
        <v>1</v>
      </c>
      <c r="D73">
        <v>0</v>
      </c>
      <c r="E73" t="s">
        <v>14</v>
      </c>
      <c r="F73">
        <v>0</v>
      </c>
      <c r="G73">
        <v>2</v>
      </c>
      <c r="H73">
        <v>1</v>
      </c>
    </row>
    <row r="74" spans="1:8" x14ac:dyDescent="0.3">
      <c r="A74">
        <v>3</v>
      </c>
      <c r="B74">
        <v>0</v>
      </c>
      <c r="C74">
        <v>2</v>
      </c>
      <c r="D74">
        <v>1</v>
      </c>
      <c r="E74" t="s">
        <v>14</v>
      </c>
      <c r="F74">
        <v>2</v>
      </c>
      <c r="G74">
        <v>1</v>
      </c>
      <c r="H74">
        <v>0</v>
      </c>
    </row>
    <row r="75" spans="1:8" x14ac:dyDescent="0.3">
      <c r="A75">
        <v>3</v>
      </c>
      <c r="B75">
        <v>1</v>
      </c>
      <c r="C75">
        <v>1</v>
      </c>
      <c r="D75">
        <v>1</v>
      </c>
      <c r="E75" t="s">
        <v>14</v>
      </c>
      <c r="F75">
        <v>1</v>
      </c>
      <c r="G75">
        <v>1</v>
      </c>
      <c r="H75">
        <v>1</v>
      </c>
    </row>
    <row r="76" spans="1:8" x14ac:dyDescent="0.3">
      <c r="A76">
        <v>3</v>
      </c>
      <c r="B76">
        <v>1</v>
      </c>
      <c r="C76">
        <v>1</v>
      </c>
      <c r="D76">
        <v>1</v>
      </c>
      <c r="E76" t="s">
        <v>14</v>
      </c>
      <c r="F76">
        <v>1</v>
      </c>
      <c r="G76">
        <v>0</v>
      </c>
      <c r="H76">
        <v>2</v>
      </c>
    </row>
    <row r="77" spans="1:8" x14ac:dyDescent="0.3">
      <c r="A77">
        <v>3</v>
      </c>
      <c r="B77">
        <v>1</v>
      </c>
      <c r="C77">
        <v>1</v>
      </c>
      <c r="D77">
        <v>1</v>
      </c>
      <c r="E77" t="s">
        <v>14</v>
      </c>
      <c r="F77">
        <v>0</v>
      </c>
      <c r="G77">
        <v>2</v>
      </c>
      <c r="H77">
        <v>1</v>
      </c>
    </row>
    <row r="78" spans="1:8" x14ac:dyDescent="0.3">
      <c r="A78">
        <v>3</v>
      </c>
      <c r="B78">
        <v>0</v>
      </c>
      <c r="C78">
        <v>2</v>
      </c>
      <c r="D78">
        <v>1</v>
      </c>
      <c r="E78" t="s">
        <v>14</v>
      </c>
      <c r="F78">
        <v>0</v>
      </c>
      <c r="G78">
        <v>2</v>
      </c>
      <c r="H78">
        <v>1</v>
      </c>
    </row>
    <row r="79" spans="1:8" x14ac:dyDescent="0.3">
      <c r="A79">
        <v>3</v>
      </c>
      <c r="B79">
        <v>1</v>
      </c>
      <c r="C79">
        <v>1</v>
      </c>
      <c r="D79">
        <v>1</v>
      </c>
      <c r="E79" t="s">
        <v>14</v>
      </c>
      <c r="F79">
        <v>1</v>
      </c>
      <c r="G79">
        <v>1</v>
      </c>
      <c r="H79">
        <v>1</v>
      </c>
    </row>
    <row r="80" spans="1:8" x14ac:dyDescent="0.3">
      <c r="A80">
        <v>3</v>
      </c>
      <c r="B80">
        <v>1</v>
      </c>
      <c r="C80">
        <v>1</v>
      </c>
      <c r="D80">
        <v>1</v>
      </c>
      <c r="E80" t="s">
        <v>14</v>
      </c>
      <c r="F80">
        <v>1</v>
      </c>
      <c r="G80">
        <v>1</v>
      </c>
      <c r="H80">
        <v>1</v>
      </c>
    </row>
    <row r="81" spans="1:8" x14ac:dyDescent="0.3">
      <c r="A81">
        <v>3</v>
      </c>
      <c r="B81">
        <v>1</v>
      </c>
      <c r="C81">
        <v>1</v>
      </c>
      <c r="D81">
        <v>1</v>
      </c>
      <c r="E81" t="s">
        <v>14</v>
      </c>
      <c r="F81">
        <v>0</v>
      </c>
      <c r="G81">
        <v>2</v>
      </c>
      <c r="H81">
        <v>1</v>
      </c>
    </row>
    <row r="82" spans="1:8" x14ac:dyDescent="0.3">
      <c r="A82">
        <v>3</v>
      </c>
      <c r="B82">
        <v>1</v>
      </c>
      <c r="C82">
        <v>1</v>
      </c>
      <c r="D82">
        <v>1</v>
      </c>
      <c r="E82" t="s">
        <v>14</v>
      </c>
      <c r="F82">
        <v>1</v>
      </c>
      <c r="G82">
        <v>0</v>
      </c>
      <c r="H82">
        <v>2</v>
      </c>
    </row>
    <row r="83" spans="1:8" x14ac:dyDescent="0.3">
      <c r="A83">
        <v>3</v>
      </c>
      <c r="B83">
        <v>1</v>
      </c>
      <c r="C83">
        <v>1</v>
      </c>
      <c r="D83">
        <v>1</v>
      </c>
      <c r="E83" t="s">
        <v>14</v>
      </c>
      <c r="F83">
        <v>1</v>
      </c>
      <c r="G83">
        <v>1</v>
      </c>
      <c r="H83">
        <v>1</v>
      </c>
    </row>
    <row r="84" spans="1:8" x14ac:dyDescent="0.3">
      <c r="A84">
        <v>3</v>
      </c>
      <c r="B84">
        <v>2</v>
      </c>
      <c r="C84">
        <v>1</v>
      </c>
      <c r="D84">
        <v>0</v>
      </c>
      <c r="E84" t="s">
        <v>14</v>
      </c>
      <c r="F84">
        <v>2</v>
      </c>
      <c r="G84">
        <v>1</v>
      </c>
      <c r="H84">
        <v>0</v>
      </c>
    </row>
    <row r="85" spans="1:8" x14ac:dyDescent="0.3">
      <c r="A85">
        <v>3</v>
      </c>
      <c r="B85">
        <v>1</v>
      </c>
      <c r="C85">
        <v>0</v>
      </c>
      <c r="D85">
        <v>2</v>
      </c>
      <c r="E85" t="s">
        <v>14</v>
      </c>
      <c r="F85">
        <v>1</v>
      </c>
      <c r="G85">
        <v>0</v>
      </c>
      <c r="H85">
        <v>2</v>
      </c>
    </row>
    <row r="86" spans="1:8" x14ac:dyDescent="0.3">
      <c r="A86">
        <v>3</v>
      </c>
      <c r="B86">
        <v>0</v>
      </c>
      <c r="C86">
        <v>2</v>
      </c>
      <c r="D86">
        <v>1</v>
      </c>
      <c r="E86" t="s">
        <v>14</v>
      </c>
      <c r="F86">
        <v>0</v>
      </c>
      <c r="G86">
        <v>2</v>
      </c>
      <c r="H86">
        <v>1</v>
      </c>
    </row>
    <row r="87" spans="1:8" x14ac:dyDescent="0.3">
      <c r="A87">
        <v>3</v>
      </c>
      <c r="B87">
        <v>1</v>
      </c>
      <c r="C87">
        <v>1</v>
      </c>
      <c r="D87">
        <v>1</v>
      </c>
      <c r="E87" t="s">
        <v>14</v>
      </c>
      <c r="F87">
        <v>1</v>
      </c>
      <c r="G87">
        <v>1</v>
      </c>
      <c r="H87">
        <v>1</v>
      </c>
    </row>
    <row r="88" spans="1:8" x14ac:dyDescent="0.3">
      <c r="A88">
        <v>3</v>
      </c>
      <c r="B88">
        <v>1</v>
      </c>
      <c r="C88">
        <v>1</v>
      </c>
      <c r="D88">
        <v>1</v>
      </c>
      <c r="E88" t="s">
        <v>14</v>
      </c>
      <c r="F88">
        <v>1</v>
      </c>
      <c r="G88">
        <v>1</v>
      </c>
      <c r="H88">
        <v>1</v>
      </c>
    </row>
    <row r="89" spans="1:8" x14ac:dyDescent="0.3">
      <c r="A89">
        <v>3</v>
      </c>
      <c r="B89">
        <v>1</v>
      </c>
      <c r="C89">
        <v>0</v>
      </c>
      <c r="D89">
        <v>2</v>
      </c>
      <c r="E89" t="s">
        <v>14</v>
      </c>
      <c r="F89">
        <v>0</v>
      </c>
      <c r="G89">
        <v>2</v>
      </c>
      <c r="H89">
        <v>1</v>
      </c>
    </row>
    <row r="90" spans="1:8" x14ac:dyDescent="0.3">
      <c r="A90">
        <v>3</v>
      </c>
      <c r="B90">
        <v>1</v>
      </c>
      <c r="C90">
        <v>1</v>
      </c>
      <c r="D90">
        <v>1</v>
      </c>
      <c r="E90" t="s">
        <v>14</v>
      </c>
      <c r="F90">
        <v>2</v>
      </c>
      <c r="G90">
        <v>1</v>
      </c>
      <c r="H90">
        <v>0</v>
      </c>
    </row>
    <row r="91" spans="1:8" x14ac:dyDescent="0.3">
      <c r="A91">
        <v>3</v>
      </c>
      <c r="B91">
        <v>1</v>
      </c>
      <c r="C91">
        <v>1</v>
      </c>
      <c r="D91">
        <v>1</v>
      </c>
      <c r="E91" t="s">
        <v>14</v>
      </c>
      <c r="F91">
        <v>1</v>
      </c>
      <c r="G91">
        <v>1</v>
      </c>
      <c r="H91">
        <v>1</v>
      </c>
    </row>
    <row r="92" spans="1:8" x14ac:dyDescent="0.3">
      <c r="A92">
        <v>3</v>
      </c>
      <c r="B92">
        <v>1</v>
      </c>
      <c r="C92">
        <v>1</v>
      </c>
      <c r="D92">
        <v>1</v>
      </c>
      <c r="E92" t="s">
        <v>14</v>
      </c>
      <c r="F92">
        <v>1</v>
      </c>
      <c r="G92">
        <v>1</v>
      </c>
      <c r="H92">
        <v>1</v>
      </c>
    </row>
    <row r="93" spans="1:8" x14ac:dyDescent="0.3">
      <c r="A93">
        <v>3</v>
      </c>
      <c r="B93">
        <v>1</v>
      </c>
      <c r="C93">
        <v>0</v>
      </c>
      <c r="D93">
        <v>2</v>
      </c>
      <c r="E93" t="s">
        <v>14</v>
      </c>
      <c r="F93">
        <v>1</v>
      </c>
      <c r="G93">
        <v>0</v>
      </c>
      <c r="H93">
        <v>2</v>
      </c>
    </row>
    <row r="94" spans="1:8" x14ac:dyDescent="0.3">
      <c r="A94">
        <v>3</v>
      </c>
      <c r="B94">
        <v>1</v>
      </c>
      <c r="C94">
        <v>0</v>
      </c>
      <c r="D94">
        <v>2</v>
      </c>
      <c r="E94" t="s">
        <v>14</v>
      </c>
      <c r="F94">
        <v>1</v>
      </c>
      <c r="G94">
        <v>0</v>
      </c>
      <c r="H94">
        <v>2</v>
      </c>
    </row>
    <row r="95" spans="1:8" x14ac:dyDescent="0.3">
      <c r="A95">
        <v>3</v>
      </c>
      <c r="B95">
        <v>0</v>
      </c>
      <c r="C95">
        <v>2</v>
      </c>
      <c r="D95">
        <v>1</v>
      </c>
      <c r="E95" t="s">
        <v>14</v>
      </c>
      <c r="F95">
        <v>2</v>
      </c>
      <c r="G95">
        <v>1</v>
      </c>
      <c r="H95">
        <v>0</v>
      </c>
    </row>
    <row r="96" spans="1:8" x14ac:dyDescent="0.3">
      <c r="A96">
        <v>3</v>
      </c>
      <c r="B96">
        <v>0</v>
      </c>
      <c r="C96">
        <v>2</v>
      </c>
      <c r="D96">
        <v>1</v>
      </c>
      <c r="E96" t="s">
        <v>14</v>
      </c>
      <c r="F96">
        <v>1</v>
      </c>
      <c r="G96">
        <v>0</v>
      </c>
      <c r="H96">
        <v>2</v>
      </c>
    </row>
    <row r="97" spans="1:8" x14ac:dyDescent="0.3">
      <c r="A97">
        <v>3</v>
      </c>
      <c r="B97">
        <v>1</v>
      </c>
      <c r="C97">
        <v>1</v>
      </c>
      <c r="D97">
        <v>1</v>
      </c>
      <c r="E97" t="s">
        <v>14</v>
      </c>
      <c r="F97">
        <v>1</v>
      </c>
      <c r="G97">
        <v>1</v>
      </c>
      <c r="H97">
        <v>1</v>
      </c>
    </row>
    <row r="98" spans="1:8" x14ac:dyDescent="0.3">
      <c r="A98">
        <v>3</v>
      </c>
      <c r="B98">
        <v>1</v>
      </c>
      <c r="C98">
        <v>1</v>
      </c>
      <c r="D98">
        <v>1</v>
      </c>
      <c r="E98" t="s">
        <v>14</v>
      </c>
      <c r="F98">
        <v>1</v>
      </c>
      <c r="G98">
        <v>0</v>
      </c>
      <c r="H98">
        <v>2</v>
      </c>
    </row>
    <row r="99" spans="1:8" x14ac:dyDescent="0.3">
      <c r="A99">
        <v>3</v>
      </c>
      <c r="B99">
        <v>1</v>
      </c>
      <c r="C99">
        <v>1</v>
      </c>
      <c r="D99">
        <v>1</v>
      </c>
      <c r="E99" t="s">
        <v>14</v>
      </c>
      <c r="F99">
        <v>0</v>
      </c>
      <c r="G99">
        <v>2</v>
      </c>
      <c r="H99">
        <v>1</v>
      </c>
    </row>
    <row r="100" spans="1:8" x14ac:dyDescent="0.3">
      <c r="A100">
        <v>3</v>
      </c>
      <c r="B100">
        <v>1</v>
      </c>
      <c r="C100">
        <v>1</v>
      </c>
      <c r="D100">
        <v>1</v>
      </c>
      <c r="E100" t="s">
        <v>14</v>
      </c>
      <c r="F100">
        <v>1</v>
      </c>
      <c r="G100">
        <v>1</v>
      </c>
      <c r="H100">
        <v>1</v>
      </c>
    </row>
    <row r="101" spans="1:8" x14ac:dyDescent="0.3">
      <c r="A101">
        <v>3</v>
      </c>
      <c r="B101">
        <v>1</v>
      </c>
      <c r="C101">
        <v>1</v>
      </c>
      <c r="D101">
        <v>1</v>
      </c>
      <c r="E101" t="s">
        <v>14</v>
      </c>
      <c r="F101">
        <v>0</v>
      </c>
      <c r="G101">
        <v>2</v>
      </c>
      <c r="H101">
        <v>1</v>
      </c>
    </row>
    <row r="102" spans="1:8" x14ac:dyDescent="0.3">
      <c r="A102">
        <v>3</v>
      </c>
      <c r="B102">
        <v>1</v>
      </c>
      <c r="C102">
        <v>1</v>
      </c>
      <c r="D102">
        <v>1</v>
      </c>
      <c r="E102" t="s">
        <v>14</v>
      </c>
      <c r="F102">
        <v>0</v>
      </c>
      <c r="G102">
        <v>2</v>
      </c>
      <c r="H102">
        <v>1</v>
      </c>
    </row>
    <row r="103" spans="1:8" x14ac:dyDescent="0.3">
      <c r="A103">
        <v>3</v>
      </c>
      <c r="B103">
        <v>1</v>
      </c>
      <c r="C103">
        <v>1</v>
      </c>
      <c r="D103">
        <v>1</v>
      </c>
      <c r="E103" t="s">
        <v>14</v>
      </c>
      <c r="F103">
        <v>0</v>
      </c>
      <c r="G103">
        <v>2</v>
      </c>
      <c r="H103">
        <v>1</v>
      </c>
    </row>
    <row r="104" spans="1:8" x14ac:dyDescent="0.3">
      <c r="A104">
        <v>3</v>
      </c>
      <c r="B104">
        <v>2</v>
      </c>
      <c r="C104">
        <v>1</v>
      </c>
      <c r="D104">
        <v>0</v>
      </c>
      <c r="E104" t="s">
        <v>14</v>
      </c>
      <c r="F104">
        <v>2</v>
      </c>
      <c r="G104">
        <v>1</v>
      </c>
      <c r="H104">
        <v>0</v>
      </c>
    </row>
    <row r="105" spans="1:8" x14ac:dyDescent="0.3">
      <c r="A105">
        <v>3</v>
      </c>
      <c r="B105">
        <v>1</v>
      </c>
      <c r="C105">
        <v>1</v>
      </c>
      <c r="D105">
        <v>1</v>
      </c>
      <c r="E105" t="s">
        <v>14</v>
      </c>
      <c r="F105">
        <v>1</v>
      </c>
      <c r="G105">
        <v>1</v>
      </c>
      <c r="H105">
        <v>1</v>
      </c>
    </row>
    <row r="106" spans="1:8" x14ac:dyDescent="0.3">
      <c r="A106">
        <v>3</v>
      </c>
      <c r="B106">
        <v>1</v>
      </c>
      <c r="C106">
        <v>1</v>
      </c>
      <c r="D106">
        <v>1</v>
      </c>
      <c r="E106" t="s">
        <v>14</v>
      </c>
      <c r="F106">
        <v>2</v>
      </c>
      <c r="G106">
        <v>1</v>
      </c>
      <c r="H106">
        <v>0</v>
      </c>
    </row>
    <row r="107" spans="1:8" x14ac:dyDescent="0.3">
      <c r="A107">
        <v>3</v>
      </c>
      <c r="B107">
        <v>1</v>
      </c>
      <c r="C107">
        <v>1</v>
      </c>
      <c r="D107">
        <v>1</v>
      </c>
      <c r="E107" t="s">
        <v>14</v>
      </c>
      <c r="F107">
        <v>1</v>
      </c>
      <c r="G107">
        <v>1</v>
      </c>
      <c r="H107">
        <v>1</v>
      </c>
    </row>
    <row r="108" spans="1:8" x14ac:dyDescent="0.3">
      <c r="A108">
        <v>3</v>
      </c>
      <c r="B108">
        <v>1</v>
      </c>
      <c r="C108">
        <v>1</v>
      </c>
      <c r="D108">
        <v>1</v>
      </c>
      <c r="E108" t="s">
        <v>14</v>
      </c>
      <c r="F108">
        <v>1</v>
      </c>
      <c r="G108">
        <v>1</v>
      </c>
      <c r="H108">
        <v>1</v>
      </c>
    </row>
    <row r="109" spans="1:8" x14ac:dyDescent="0.3">
      <c r="A109">
        <v>3</v>
      </c>
      <c r="B109">
        <v>1</v>
      </c>
      <c r="C109">
        <v>1</v>
      </c>
      <c r="D109">
        <v>1</v>
      </c>
      <c r="E109" t="s">
        <v>14</v>
      </c>
      <c r="F109">
        <v>2</v>
      </c>
      <c r="G109">
        <v>1</v>
      </c>
      <c r="H109">
        <v>0</v>
      </c>
    </row>
    <row r="110" spans="1:8" x14ac:dyDescent="0.3">
      <c r="A110">
        <v>3</v>
      </c>
      <c r="B110">
        <v>0</v>
      </c>
      <c r="C110">
        <v>2</v>
      </c>
      <c r="D110">
        <v>1</v>
      </c>
      <c r="E110" t="s">
        <v>14</v>
      </c>
      <c r="F110">
        <v>0</v>
      </c>
      <c r="G110">
        <v>2</v>
      </c>
      <c r="H110">
        <v>1</v>
      </c>
    </row>
    <row r="111" spans="1:8" x14ac:dyDescent="0.3">
      <c r="A111">
        <v>3</v>
      </c>
      <c r="B111">
        <v>1</v>
      </c>
      <c r="C111">
        <v>1</v>
      </c>
      <c r="D111">
        <v>1</v>
      </c>
      <c r="E111" t="s">
        <v>14</v>
      </c>
      <c r="F111">
        <v>1</v>
      </c>
      <c r="G111">
        <v>0</v>
      </c>
      <c r="H111">
        <v>2</v>
      </c>
    </row>
    <row r="112" spans="1:8" x14ac:dyDescent="0.3">
      <c r="A112">
        <v>3</v>
      </c>
      <c r="B112">
        <v>1</v>
      </c>
      <c r="C112">
        <v>1</v>
      </c>
      <c r="D112">
        <v>1</v>
      </c>
      <c r="E112" t="s">
        <v>14</v>
      </c>
      <c r="F112">
        <v>2</v>
      </c>
      <c r="G112">
        <v>1</v>
      </c>
      <c r="H112">
        <v>0</v>
      </c>
    </row>
    <row r="113" spans="1:8" x14ac:dyDescent="0.3">
      <c r="A113">
        <v>4</v>
      </c>
      <c r="B113">
        <v>1</v>
      </c>
      <c r="C113">
        <v>2</v>
      </c>
      <c r="D113">
        <v>1</v>
      </c>
      <c r="E113" t="s">
        <v>14</v>
      </c>
      <c r="F113">
        <v>1</v>
      </c>
      <c r="G113">
        <v>2</v>
      </c>
      <c r="H113">
        <v>1</v>
      </c>
    </row>
    <row r="114" spans="1:8" x14ac:dyDescent="0.3">
      <c r="A114">
        <v>4</v>
      </c>
      <c r="B114">
        <v>2</v>
      </c>
      <c r="C114">
        <v>1</v>
      </c>
      <c r="D114">
        <v>1</v>
      </c>
      <c r="E114" t="s">
        <v>14</v>
      </c>
      <c r="F114">
        <v>2</v>
      </c>
      <c r="G114">
        <v>1</v>
      </c>
      <c r="H114">
        <v>1</v>
      </c>
    </row>
    <row r="115" spans="1:8" x14ac:dyDescent="0.3">
      <c r="A115">
        <v>4</v>
      </c>
      <c r="B115">
        <v>1</v>
      </c>
      <c r="C115">
        <v>2</v>
      </c>
      <c r="D115">
        <v>1</v>
      </c>
      <c r="E115" t="s">
        <v>14</v>
      </c>
      <c r="F115">
        <v>0</v>
      </c>
      <c r="G115">
        <v>2</v>
      </c>
      <c r="H115">
        <v>2</v>
      </c>
    </row>
    <row r="116" spans="1:8" x14ac:dyDescent="0.3">
      <c r="A116">
        <v>4</v>
      </c>
      <c r="B116">
        <v>1</v>
      </c>
      <c r="C116">
        <v>2</v>
      </c>
      <c r="D116">
        <v>1</v>
      </c>
      <c r="E116" t="s">
        <v>14</v>
      </c>
      <c r="F116">
        <v>1</v>
      </c>
      <c r="G116">
        <v>2</v>
      </c>
      <c r="H116">
        <v>1</v>
      </c>
    </row>
    <row r="117" spans="1:8" x14ac:dyDescent="0.3">
      <c r="A117">
        <v>4</v>
      </c>
      <c r="B117">
        <v>2</v>
      </c>
      <c r="C117">
        <v>1</v>
      </c>
      <c r="D117">
        <v>1</v>
      </c>
      <c r="E117" t="s">
        <v>14</v>
      </c>
      <c r="F117">
        <v>2</v>
      </c>
      <c r="G117">
        <v>1</v>
      </c>
      <c r="H117">
        <v>1</v>
      </c>
    </row>
    <row r="118" spans="1:8" x14ac:dyDescent="0.3">
      <c r="A118">
        <v>4</v>
      </c>
      <c r="B118">
        <v>2</v>
      </c>
      <c r="C118">
        <v>1</v>
      </c>
      <c r="D118">
        <v>1</v>
      </c>
      <c r="E118" t="s">
        <v>14</v>
      </c>
      <c r="F118">
        <v>2</v>
      </c>
      <c r="G118">
        <v>1</v>
      </c>
      <c r="H118">
        <v>1</v>
      </c>
    </row>
    <row r="119" spans="1:8" x14ac:dyDescent="0.3">
      <c r="A119">
        <v>4</v>
      </c>
      <c r="B119">
        <v>1</v>
      </c>
      <c r="C119">
        <v>2</v>
      </c>
      <c r="D119">
        <v>1</v>
      </c>
      <c r="E119" t="s">
        <v>14</v>
      </c>
      <c r="F119">
        <v>2</v>
      </c>
      <c r="G119">
        <v>0</v>
      </c>
      <c r="H119">
        <v>2</v>
      </c>
    </row>
    <row r="120" spans="1:8" x14ac:dyDescent="0.3">
      <c r="A120">
        <v>4</v>
      </c>
      <c r="B120">
        <v>1</v>
      </c>
      <c r="C120">
        <v>2</v>
      </c>
      <c r="D120">
        <v>1</v>
      </c>
      <c r="E120" t="s">
        <v>14</v>
      </c>
      <c r="F120">
        <v>2</v>
      </c>
      <c r="G120">
        <v>0</v>
      </c>
      <c r="H120">
        <v>2</v>
      </c>
    </row>
    <row r="121" spans="1:8" x14ac:dyDescent="0.3">
      <c r="A121">
        <v>4</v>
      </c>
      <c r="B121">
        <v>1</v>
      </c>
      <c r="C121">
        <v>2</v>
      </c>
      <c r="D121">
        <v>1</v>
      </c>
      <c r="E121" t="s">
        <v>14</v>
      </c>
      <c r="F121">
        <v>0</v>
      </c>
      <c r="G121">
        <v>2</v>
      </c>
      <c r="H121">
        <v>2</v>
      </c>
    </row>
    <row r="122" spans="1:8" x14ac:dyDescent="0.3">
      <c r="A122">
        <v>4</v>
      </c>
      <c r="B122">
        <v>1</v>
      </c>
      <c r="C122">
        <v>1</v>
      </c>
      <c r="D122">
        <v>2</v>
      </c>
      <c r="E122" t="s">
        <v>14</v>
      </c>
      <c r="F122">
        <v>1</v>
      </c>
      <c r="G122">
        <v>1</v>
      </c>
      <c r="H122">
        <v>2</v>
      </c>
    </row>
    <row r="123" spans="1:8" x14ac:dyDescent="0.3">
      <c r="A123">
        <v>4</v>
      </c>
      <c r="B123">
        <v>1</v>
      </c>
      <c r="C123">
        <v>1</v>
      </c>
      <c r="D123">
        <v>2</v>
      </c>
      <c r="E123" t="s">
        <v>14</v>
      </c>
      <c r="F123">
        <v>1</v>
      </c>
      <c r="G123">
        <v>1</v>
      </c>
      <c r="H123">
        <v>2</v>
      </c>
    </row>
    <row r="124" spans="1:8" x14ac:dyDescent="0.3">
      <c r="A124">
        <v>4</v>
      </c>
      <c r="B124">
        <v>2</v>
      </c>
      <c r="C124">
        <v>1</v>
      </c>
      <c r="D124">
        <v>1</v>
      </c>
      <c r="E124" t="s">
        <v>14</v>
      </c>
      <c r="F124">
        <v>2</v>
      </c>
      <c r="G124">
        <v>1</v>
      </c>
      <c r="H124">
        <v>1</v>
      </c>
    </row>
    <row r="125" spans="1:8" x14ac:dyDescent="0.3">
      <c r="A125">
        <v>4</v>
      </c>
      <c r="B125">
        <v>1</v>
      </c>
      <c r="C125">
        <v>1</v>
      </c>
      <c r="D125">
        <v>2</v>
      </c>
      <c r="E125" t="s">
        <v>14</v>
      </c>
      <c r="F125">
        <v>2</v>
      </c>
      <c r="G125">
        <v>0</v>
      </c>
      <c r="H125">
        <v>2</v>
      </c>
    </row>
    <row r="126" spans="1:8" x14ac:dyDescent="0.3">
      <c r="A126">
        <v>4</v>
      </c>
      <c r="B126">
        <v>1</v>
      </c>
      <c r="C126">
        <v>1</v>
      </c>
      <c r="D126">
        <v>2</v>
      </c>
      <c r="E126" t="s">
        <v>14</v>
      </c>
      <c r="F126">
        <v>2</v>
      </c>
      <c r="G126">
        <v>2</v>
      </c>
      <c r="H126">
        <v>0</v>
      </c>
    </row>
    <row r="127" spans="1:8" x14ac:dyDescent="0.3">
      <c r="A127">
        <v>4</v>
      </c>
      <c r="B127">
        <v>1</v>
      </c>
      <c r="C127">
        <v>2</v>
      </c>
      <c r="D127">
        <v>1</v>
      </c>
      <c r="E127" t="s">
        <v>14</v>
      </c>
      <c r="F127">
        <v>2</v>
      </c>
      <c r="G127">
        <v>0</v>
      </c>
      <c r="H127">
        <v>2</v>
      </c>
    </row>
    <row r="128" spans="1:8" x14ac:dyDescent="0.3">
      <c r="A128">
        <v>5</v>
      </c>
      <c r="B128">
        <v>1</v>
      </c>
      <c r="C128">
        <v>2</v>
      </c>
      <c r="D128">
        <v>2</v>
      </c>
      <c r="E128" t="s">
        <v>14</v>
      </c>
      <c r="F128">
        <v>1</v>
      </c>
      <c r="G128">
        <v>2</v>
      </c>
      <c r="H128">
        <v>2</v>
      </c>
    </row>
    <row r="129" spans="1:8" x14ac:dyDescent="0.3">
      <c r="A129">
        <v>5</v>
      </c>
      <c r="B129">
        <v>2</v>
      </c>
      <c r="C129">
        <v>2</v>
      </c>
      <c r="D129">
        <v>1</v>
      </c>
      <c r="E129" t="s">
        <v>14</v>
      </c>
      <c r="F129">
        <v>2</v>
      </c>
      <c r="G129">
        <v>2</v>
      </c>
      <c r="H129">
        <v>1</v>
      </c>
    </row>
    <row r="130" spans="1:8" x14ac:dyDescent="0.3">
      <c r="A130">
        <v>5</v>
      </c>
      <c r="B130">
        <v>2</v>
      </c>
      <c r="C130">
        <v>1</v>
      </c>
      <c r="D130">
        <v>2</v>
      </c>
      <c r="E130" t="s">
        <v>14</v>
      </c>
      <c r="F130">
        <v>0</v>
      </c>
      <c r="G130">
        <v>2</v>
      </c>
      <c r="H130">
        <v>3</v>
      </c>
    </row>
    <row r="131" spans="1:8" x14ac:dyDescent="0.3">
      <c r="A131">
        <v>6</v>
      </c>
      <c r="B131">
        <v>2</v>
      </c>
      <c r="C131">
        <v>3</v>
      </c>
      <c r="D131">
        <v>1</v>
      </c>
      <c r="E131" t="s">
        <v>14</v>
      </c>
      <c r="F131">
        <v>2</v>
      </c>
      <c r="G131">
        <v>3</v>
      </c>
      <c r="H131">
        <v>1</v>
      </c>
    </row>
    <row r="132" spans="1:8" x14ac:dyDescent="0.3">
      <c r="A132">
        <v>6</v>
      </c>
      <c r="B132">
        <v>2</v>
      </c>
      <c r="C132">
        <v>2</v>
      </c>
      <c r="D132">
        <v>2</v>
      </c>
      <c r="E132" t="s">
        <v>14</v>
      </c>
      <c r="F132">
        <v>2</v>
      </c>
      <c r="G132">
        <v>2</v>
      </c>
      <c r="H132">
        <v>2</v>
      </c>
    </row>
    <row r="133" spans="1:8" x14ac:dyDescent="0.3">
      <c r="A133">
        <v>6</v>
      </c>
      <c r="B133">
        <v>2</v>
      </c>
      <c r="C133">
        <v>2</v>
      </c>
      <c r="D133">
        <v>2</v>
      </c>
      <c r="E133" t="s">
        <v>14</v>
      </c>
      <c r="F133">
        <v>2</v>
      </c>
      <c r="G133">
        <v>2</v>
      </c>
      <c r="H133">
        <v>2</v>
      </c>
    </row>
    <row r="134" spans="1:8" x14ac:dyDescent="0.3">
      <c r="A134">
        <v>6</v>
      </c>
      <c r="B134">
        <v>3</v>
      </c>
      <c r="C134">
        <v>1</v>
      </c>
      <c r="D134">
        <v>2</v>
      </c>
      <c r="E134" t="s">
        <v>14</v>
      </c>
      <c r="F134">
        <v>3</v>
      </c>
      <c r="G134">
        <v>1</v>
      </c>
      <c r="H134">
        <v>2</v>
      </c>
    </row>
    <row r="135" spans="1:8" x14ac:dyDescent="0.3">
      <c r="A135">
        <v>6</v>
      </c>
      <c r="B135">
        <v>2</v>
      </c>
      <c r="C135">
        <v>2</v>
      </c>
      <c r="D135">
        <v>2</v>
      </c>
      <c r="E135" t="s">
        <v>14</v>
      </c>
      <c r="F135">
        <v>2</v>
      </c>
      <c r="G135">
        <v>2</v>
      </c>
      <c r="H135">
        <v>2</v>
      </c>
    </row>
    <row r="136" spans="1:8" x14ac:dyDescent="0.3">
      <c r="A136">
        <v>7</v>
      </c>
      <c r="B136">
        <v>3</v>
      </c>
      <c r="C136">
        <v>2</v>
      </c>
      <c r="D136">
        <v>2</v>
      </c>
      <c r="E136" t="s">
        <v>14</v>
      </c>
      <c r="F136">
        <v>3</v>
      </c>
      <c r="G136">
        <v>2</v>
      </c>
      <c r="H136">
        <v>2</v>
      </c>
    </row>
    <row r="137" spans="1:8" x14ac:dyDescent="0.3">
      <c r="A137">
        <v>7</v>
      </c>
      <c r="B137">
        <v>3</v>
      </c>
      <c r="C137">
        <v>2</v>
      </c>
      <c r="D137">
        <v>2</v>
      </c>
      <c r="E137" t="s">
        <v>14</v>
      </c>
      <c r="F137">
        <v>3</v>
      </c>
      <c r="G137">
        <v>2</v>
      </c>
      <c r="H137">
        <v>2</v>
      </c>
    </row>
    <row r="138" spans="1:8" x14ac:dyDescent="0.3">
      <c r="A138">
        <v>7</v>
      </c>
      <c r="B138">
        <v>2</v>
      </c>
      <c r="C138">
        <v>3</v>
      </c>
      <c r="D138">
        <v>2</v>
      </c>
      <c r="E138" t="s">
        <v>14</v>
      </c>
      <c r="F138">
        <v>2</v>
      </c>
      <c r="G138">
        <v>3</v>
      </c>
      <c r="H138">
        <v>2</v>
      </c>
    </row>
    <row r="139" spans="1:8" x14ac:dyDescent="0.3">
      <c r="A139">
        <v>8</v>
      </c>
      <c r="B139">
        <v>3</v>
      </c>
      <c r="C139">
        <v>3</v>
      </c>
      <c r="D139">
        <v>2</v>
      </c>
      <c r="E139" t="s">
        <v>14</v>
      </c>
      <c r="F139">
        <v>3</v>
      </c>
      <c r="G139">
        <v>3</v>
      </c>
      <c r="H139">
        <v>2</v>
      </c>
    </row>
    <row r="140" spans="1:8" x14ac:dyDescent="0.3">
      <c r="A140">
        <v>8</v>
      </c>
      <c r="B140">
        <v>3</v>
      </c>
      <c r="C140">
        <v>3</v>
      </c>
      <c r="D140">
        <v>2</v>
      </c>
      <c r="E140" t="s">
        <v>14</v>
      </c>
      <c r="F140">
        <v>3</v>
      </c>
      <c r="G140">
        <v>3</v>
      </c>
      <c r="H140">
        <v>2</v>
      </c>
    </row>
    <row r="141" spans="1:8" x14ac:dyDescent="0.3">
      <c r="A141">
        <v>2</v>
      </c>
      <c r="B141">
        <v>1</v>
      </c>
      <c r="C141">
        <v>1</v>
      </c>
      <c r="D141">
        <v>0</v>
      </c>
      <c r="E141" t="s">
        <v>14</v>
      </c>
      <c r="F141">
        <v>1</v>
      </c>
      <c r="G141">
        <v>1</v>
      </c>
      <c r="H141">
        <v>0</v>
      </c>
    </row>
    <row r="142" spans="1:8" x14ac:dyDescent="0.3">
      <c r="A142">
        <v>2</v>
      </c>
      <c r="B142">
        <v>1</v>
      </c>
      <c r="C142">
        <v>0</v>
      </c>
      <c r="D142">
        <v>1</v>
      </c>
      <c r="E142" t="s">
        <v>14</v>
      </c>
      <c r="F142">
        <v>1</v>
      </c>
      <c r="G142">
        <v>0</v>
      </c>
      <c r="H142">
        <v>1</v>
      </c>
    </row>
    <row r="143" spans="1:8" x14ac:dyDescent="0.3">
      <c r="A143">
        <v>2</v>
      </c>
      <c r="B143">
        <v>0</v>
      </c>
      <c r="C143">
        <v>1</v>
      </c>
      <c r="D143">
        <v>1</v>
      </c>
      <c r="E143" t="s">
        <v>14</v>
      </c>
      <c r="F143">
        <v>0</v>
      </c>
      <c r="G143">
        <v>1</v>
      </c>
      <c r="H143">
        <v>1</v>
      </c>
    </row>
    <row r="144" spans="1:8" x14ac:dyDescent="0.3">
      <c r="A144">
        <v>3</v>
      </c>
      <c r="B144">
        <v>1</v>
      </c>
      <c r="C144">
        <v>1</v>
      </c>
      <c r="D144">
        <v>1</v>
      </c>
      <c r="E144" t="s">
        <v>14</v>
      </c>
      <c r="F144">
        <v>0</v>
      </c>
      <c r="G144">
        <v>2</v>
      </c>
      <c r="H144">
        <v>1</v>
      </c>
    </row>
    <row r="145" spans="1:8" x14ac:dyDescent="0.3">
      <c r="A145">
        <v>3</v>
      </c>
      <c r="B145">
        <v>1</v>
      </c>
      <c r="C145">
        <v>1</v>
      </c>
      <c r="D145">
        <v>1</v>
      </c>
      <c r="E145" t="s">
        <v>14</v>
      </c>
      <c r="F145">
        <v>1</v>
      </c>
      <c r="G145">
        <v>1</v>
      </c>
      <c r="H145">
        <v>1</v>
      </c>
    </row>
    <row r="146" spans="1:8" x14ac:dyDescent="0.3">
      <c r="A146">
        <v>3</v>
      </c>
      <c r="B146">
        <v>1</v>
      </c>
      <c r="C146">
        <v>1</v>
      </c>
      <c r="D146">
        <v>1</v>
      </c>
      <c r="E146" t="s">
        <v>14</v>
      </c>
      <c r="F146">
        <v>1</v>
      </c>
      <c r="G146">
        <v>1</v>
      </c>
      <c r="H146">
        <v>1</v>
      </c>
    </row>
    <row r="147" spans="1:8" x14ac:dyDescent="0.3">
      <c r="A147">
        <v>3</v>
      </c>
      <c r="B147">
        <v>1</v>
      </c>
      <c r="C147">
        <v>1</v>
      </c>
      <c r="D147">
        <v>1</v>
      </c>
      <c r="E147" t="s">
        <v>14</v>
      </c>
      <c r="F147">
        <v>1</v>
      </c>
      <c r="G147">
        <v>0</v>
      </c>
      <c r="H147">
        <v>2</v>
      </c>
    </row>
    <row r="148" spans="1:8" x14ac:dyDescent="0.3">
      <c r="A148">
        <v>3</v>
      </c>
      <c r="B148">
        <v>1</v>
      </c>
      <c r="C148">
        <v>0</v>
      </c>
      <c r="D148">
        <v>2</v>
      </c>
      <c r="E148" t="s">
        <v>14</v>
      </c>
      <c r="F148">
        <v>2</v>
      </c>
      <c r="G148">
        <v>1</v>
      </c>
      <c r="H148">
        <v>0</v>
      </c>
    </row>
    <row r="149" spans="1:8" x14ac:dyDescent="0.3">
      <c r="A149">
        <v>3</v>
      </c>
      <c r="B149">
        <v>1</v>
      </c>
      <c r="C149">
        <v>1</v>
      </c>
      <c r="D149">
        <v>1</v>
      </c>
      <c r="E149" t="s">
        <v>14</v>
      </c>
      <c r="F149">
        <v>1</v>
      </c>
      <c r="G149">
        <v>1</v>
      </c>
      <c r="H149">
        <v>1</v>
      </c>
    </row>
    <row r="150" spans="1:8" x14ac:dyDescent="0.3">
      <c r="A150">
        <v>3</v>
      </c>
      <c r="B150">
        <v>1</v>
      </c>
      <c r="C150">
        <v>1</v>
      </c>
      <c r="D150">
        <v>1</v>
      </c>
      <c r="E150" t="s">
        <v>14</v>
      </c>
      <c r="F150">
        <v>1</v>
      </c>
      <c r="G150">
        <v>1</v>
      </c>
      <c r="H150">
        <v>1</v>
      </c>
    </row>
    <row r="151" spans="1:8" x14ac:dyDescent="0.3">
      <c r="A151">
        <v>3</v>
      </c>
      <c r="B151">
        <v>2</v>
      </c>
      <c r="C151">
        <v>1</v>
      </c>
      <c r="D151">
        <v>0</v>
      </c>
      <c r="E151" t="s">
        <v>14</v>
      </c>
      <c r="F151">
        <v>2</v>
      </c>
      <c r="G151">
        <v>1</v>
      </c>
      <c r="H151">
        <v>0</v>
      </c>
    </row>
    <row r="152" spans="1:8" x14ac:dyDescent="0.3">
      <c r="A152">
        <v>3</v>
      </c>
      <c r="B152">
        <v>1</v>
      </c>
      <c r="C152">
        <v>0</v>
      </c>
      <c r="D152">
        <v>2</v>
      </c>
      <c r="E152" t="s">
        <v>14</v>
      </c>
      <c r="F152">
        <v>0</v>
      </c>
      <c r="G152">
        <v>2</v>
      </c>
      <c r="H152">
        <v>1</v>
      </c>
    </row>
    <row r="153" spans="1:8" x14ac:dyDescent="0.3">
      <c r="A153">
        <v>3</v>
      </c>
      <c r="B153">
        <v>2</v>
      </c>
      <c r="C153">
        <v>1</v>
      </c>
      <c r="D153">
        <v>0</v>
      </c>
      <c r="E153" t="s">
        <v>14</v>
      </c>
      <c r="F153">
        <v>2</v>
      </c>
      <c r="G153">
        <v>1</v>
      </c>
      <c r="H153">
        <v>0</v>
      </c>
    </row>
    <row r="154" spans="1:8" x14ac:dyDescent="0.3">
      <c r="A154">
        <v>3</v>
      </c>
      <c r="B154">
        <v>1</v>
      </c>
      <c r="C154">
        <v>1</v>
      </c>
      <c r="D154">
        <v>1</v>
      </c>
      <c r="E154" t="s">
        <v>14</v>
      </c>
      <c r="F154">
        <v>1</v>
      </c>
      <c r="G154">
        <v>0</v>
      </c>
      <c r="H154">
        <v>2</v>
      </c>
    </row>
    <row r="155" spans="1:8" x14ac:dyDescent="0.3">
      <c r="A155">
        <v>3</v>
      </c>
      <c r="B155">
        <v>1</v>
      </c>
      <c r="C155">
        <v>0</v>
      </c>
      <c r="D155">
        <v>2</v>
      </c>
      <c r="E155" t="s">
        <v>14</v>
      </c>
      <c r="F155">
        <v>0</v>
      </c>
      <c r="G155">
        <v>2</v>
      </c>
      <c r="H155">
        <v>1</v>
      </c>
    </row>
    <row r="156" spans="1:8" x14ac:dyDescent="0.3">
      <c r="A156">
        <v>3</v>
      </c>
      <c r="B156">
        <v>1</v>
      </c>
      <c r="C156">
        <v>0</v>
      </c>
      <c r="D156">
        <v>2</v>
      </c>
      <c r="E156" t="s">
        <v>14</v>
      </c>
      <c r="F156">
        <v>1</v>
      </c>
      <c r="G156">
        <v>0</v>
      </c>
      <c r="H156">
        <v>2</v>
      </c>
    </row>
    <row r="157" spans="1:8" x14ac:dyDescent="0.3">
      <c r="A157">
        <v>3</v>
      </c>
      <c r="B157">
        <v>0</v>
      </c>
      <c r="C157">
        <v>2</v>
      </c>
      <c r="D157">
        <v>1</v>
      </c>
      <c r="E157" t="s">
        <v>14</v>
      </c>
      <c r="F157">
        <v>0</v>
      </c>
      <c r="G157">
        <v>2</v>
      </c>
      <c r="H157">
        <v>1</v>
      </c>
    </row>
    <row r="158" spans="1:8" x14ac:dyDescent="0.3">
      <c r="A158">
        <v>3</v>
      </c>
      <c r="B158">
        <v>1</v>
      </c>
      <c r="C158">
        <v>1</v>
      </c>
      <c r="D158">
        <v>1</v>
      </c>
      <c r="E158" t="s">
        <v>14</v>
      </c>
      <c r="F158">
        <v>2</v>
      </c>
      <c r="G158">
        <v>1</v>
      </c>
      <c r="H158">
        <v>0</v>
      </c>
    </row>
    <row r="159" spans="1:8" x14ac:dyDescent="0.3">
      <c r="A159">
        <v>3</v>
      </c>
      <c r="B159">
        <v>1</v>
      </c>
      <c r="C159">
        <v>1</v>
      </c>
      <c r="D159">
        <v>1</v>
      </c>
      <c r="E159" t="s">
        <v>14</v>
      </c>
      <c r="F159">
        <v>1</v>
      </c>
      <c r="G159">
        <v>1</v>
      </c>
      <c r="H159">
        <v>1</v>
      </c>
    </row>
    <row r="160" spans="1:8" x14ac:dyDescent="0.3">
      <c r="A160">
        <v>3</v>
      </c>
      <c r="B160">
        <v>0</v>
      </c>
      <c r="C160">
        <v>2</v>
      </c>
      <c r="D160">
        <v>1</v>
      </c>
      <c r="E160" t="s">
        <v>14</v>
      </c>
      <c r="F160">
        <v>0</v>
      </c>
      <c r="G160">
        <v>2</v>
      </c>
      <c r="H160">
        <v>1</v>
      </c>
    </row>
    <row r="161" spans="1:8" x14ac:dyDescent="0.3">
      <c r="A161">
        <v>3</v>
      </c>
      <c r="B161">
        <v>1</v>
      </c>
      <c r="C161">
        <v>1</v>
      </c>
      <c r="D161">
        <v>1</v>
      </c>
      <c r="E161" t="s">
        <v>14</v>
      </c>
      <c r="F161">
        <v>1</v>
      </c>
      <c r="G161">
        <v>1</v>
      </c>
      <c r="H161">
        <v>1</v>
      </c>
    </row>
    <row r="162" spans="1:8" x14ac:dyDescent="0.3">
      <c r="A162">
        <v>3</v>
      </c>
      <c r="B162">
        <v>1</v>
      </c>
      <c r="C162">
        <v>1</v>
      </c>
      <c r="D162">
        <v>1</v>
      </c>
      <c r="E162" t="s">
        <v>14</v>
      </c>
      <c r="F162">
        <v>1</v>
      </c>
      <c r="G162">
        <v>1</v>
      </c>
      <c r="H162">
        <v>1</v>
      </c>
    </row>
    <row r="163" spans="1:8" x14ac:dyDescent="0.3">
      <c r="A163">
        <v>3</v>
      </c>
      <c r="B163">
        <v>1</v>
      </c>
      <c r="C163">
        <v>1</v>
      </c>
      <c r="D163">
        <v>1</v>
      </c>
      <c r="E163" t="s">
        <v>14</v>
      </c>
      <c r="F163">
        <v>0</v>
      </c>
      <c r="G163">
        <v>2</v>
      </c>
      <c r="H163">
        <v>1</v>
      </c>
    </row>
    <row r="164" spans="1:8" x14ac:dyDescent="0.3">
      <c r="A164">
        <v>3</v>
      </c>
      <c r="B164">
        <v>1</v>
      </c>
      <c r="C164">
        <v>1</v>
      </c>
      <c r="D164">
        <v>1</v>
      </c>
      <c r="E164" t="s">
        <v>14</v>
      </c>
      <c r="F164">
        <v>2</v>
      </c>
      <c r="G164">
        <v>1</v>
      </c>
      <c r="H164">
        <v>0</v>
      </c>
    </row>
    <row r="165" spans="1:8" x14ac:dyDescent="0.3">
      <c r="A165">
        <v>3</v>
      </c>
      <c r="B165">
        <v>1</v>
      </c>
      <c r="C165">
        <v>1</v>
      </c>
      <c r="D165">
        <v>1</v>
      </c>
      <c r="E165" t="s">
        <v>14</v>
      </c>
      <c r="F165">
        <v>2</v>
      </c>
      <c r="G165">
        <v>1</v>
      </c>
      <c r="H165">
        <v>0</v>
      </c>
    </row>
    <row r="166" spans="1:8" x14ac:dyDescent="0.3">
      <c r="A166">
        <v>3</v>
      </c>
      <c r="B166">
        <v>1</v>
      </c>
      <c r="C166">
        <v>1</v>
      </c>
      <c r="D166">
        <v>1</v>
      </c>
      <c r="E166" t="s">
        <v>14</v>
      </c>
      <c r="F166">
        <v>1</v>
      </c>
      <c r="G166">
        <v>0</v>
      </c>
      <c r="H166">
        <v>2</v>
      </c>
    </row>
    <row r="167" spans="1:8" x14ac:dyDescent="0.3">
      <c r="A167">
        <v>3</v>
      </c>
      <c r="B167">
        <v>1</v>
      </c>
      <c r="C167">
        <v>1</v>
      </c>
      <c r="D167">
        <v>1</v>
      </c>
      <c r="E167" t="s">
        <v>14</v>
      </c>
      <c r="F167">
        <v>1</v>
      </c>
      <c r="G167">
        <v>0</v>
      </c>
      <c r="H167">
        <v>2</v>
      </c>
    </row>
    <row r="168" spans="1:8" x14ac:dyDescent="0.3">
      <c r="A168">
        <v>3</v>
      </c>
      <c r="B168">
        <v>2</v>
      </c>
      <c r="C168">
        <v>1</v>
      </c>
      <c r="D168">
        <v>0</v>
      </c>
      <c r="E168" t="s">
        <v>14</v>
      </c>
      <c r="F168">
        <v>2</v>
      </c>
      <c r="G168">
        <v>1</v>
      </c>
      <c r="H168">
        <v>0</v>
      </c>
    </row>
    <row r="169" spans="1:8" x14ac:dyDescent="0.3">
      <c r="A169">
        <v>3</v>
      </c>
      <c r="B169">
        <v>1</v>
      </c>
      <c r="C169">
        <v>1</v>
      </c>
      <c r="D169">
        <v>1</v>
      </c>
      <c r="E169" t="s">
        <v>14</v>
      </c>
      <c r="F169">
        <v>1</v>
      </c>
      <c r="G169">
        <v>0</v>
      </c>
      <c r="H169">
        <v>2</v>
      </c>
    </row>
    <row r="170" spans="1:8" x14ac:dyDescent="0.3">
      <c r="A170">
        <v>3</v>
      </c>
      <c r="B170">
        <v>1</v>
      </c>
      <c r="C170">
        <v>1</v>
      </c>
      <c r="D170">
        <v>1</v>
      </c>
      <c r="E170" t="s">
        <v>14</v>
      </c>
      <c r="F170">
        <v>2</v>
      </c>
      <c r="G170">
        <v>1</v>
      </c>
      <c r="H170">
        <v>0</v>
      </c>
    </row>
    <row r="171" spans="1:8" x14ac:dyDescent="0.3">
      <c r="A171">
        <v>3</v>
      </c>
      <c r="B171">
        <v>1</v>
      </c>
      <c r="C171">
        <v>1</v>
      </c>
      <c r="D171">
        <v>1</v>
      </c>
      <c r="E171" t="s">
        <v>14</v>
      </c>
      <c r="F171">
        <v>1</v>
      </c>
      <c r="G171">
        <v>1</v>
      </c>
      <c r="H171">
        <v>1</v>
      </c>
    </row>
    <row r="172" spans="1:8" x14ac:dyDescent="0.3">
      <c r="A172">
        <v>3</v>
      </c>
      <c r="B172">
        <v>1</v>
      </c>
      <c r="C172">
        <v>1</v>
      </c>
      <c r="D172">
        <v>1</v>
      </c>
      <c r="E172" t="s">
        <v>14</v>
      </c>
      <c r="F172">
        <v>0</v>
      </c>
      <c r="G172">
        <v>2</v>
      </c>
      <c r="H172">
        <v>1</v>
      </c>
    </row>
    <row r="173" spans="1:8" x14ac:dyDescent="0.3">
      <c r="A173">
        <v>3</v>
      </c>
      <c r="B173">
        <v>1</v>
      </c>
      <c r="C173">
        <v>1</v>
      </c>
      <c r="D173">
        <v>1</v>
      </c>
      <c r="E173" t="s">
        <v>14</v>
      </c>
      <c r="F173">
        <v>1</v>
      </c>
      <c r="G173">
        <v>0</v>
      </c>
      <c r="H173">
        <v>2</v>
      </c>
    </row>
    <row r="174" spans="1:8" x14ac:dyDescent="0.3">
      <c r="A174">
        <v>3</v>
      </c>
      <c r="B174">
        <v>2</v>
      </c>
      <c r="C174">
        <v>1</v>
      </c>
      <c r="D174">
        <v>0</v>
      </c>
      <c r="E174" t="s">
        <v>14</v>
      </c>
      <c r="F174">
        <v>1</v>
      </c>
      <c r="G174">
        <v>0</v>
      </c>
      <c r="H174">
        <v>2</v>
      </c>
    </row>
    <row r="175" spans="1:8" x14ac:dyDescent="0.3">
      <c r="A175">
        <v>3</v>
      </c>
      <c r="B175">
        <v>0</v>
      </c>
      <c r="C175">
        <v>2</v>
      </c>
      <c r="D175">
        <v>1</v>
      </c>
      <c r="E175" t="s">
        <v>14</v>
      </c>
      <c r="F175">
        <v>1</v>
      </c>
      <c r="G175">
        <v>0</v>
      </c>
      <c r="H175">
        <v>2</v>
      </c>
    </row>
    <row r="176" spans="1:8" x14ac:dyDescent="0.3">
      <c r="A176">
        <v>3</v>
      </c>
      <c r="B176">
        <v>1</v>
      </c>
      <c r="C176">
        <v>1</v>
      </c>
      <c r="D176">
        <v>1</v>
      </c>
      <c r="E176" t="s">
        <v>14</v>
      </c>
      <c r="F176">
        <v>1</v>
      </c>
      <c r="G176">
        <v>0</v>
      </c>
      <c r="H176">
        <v>2</v>
      </c>
    </row>
    <row r="177" spans="1:8" x14ac:dyDescent="0.3">
      <c r="A177">
        <v>3</v>
      </c>
      <c r="B177">
        <v>2</v>
      </c>
      <c r="C177">
        <v>1</v>
      </c>
      <c r="D177">
        <v>0</v>
      </c>
      <c r="E177" t="s">
        <v>14</v>
      </c>
      <c r="F177">
        <v>0</v>
      </c>
      <c r="G177">
        <v>2</v>
      </c>
      <c r="H177">
        <v>1</v>
      </c>
    </row>
    <row r="178" spans="1:8" x14ac:dyDescent="0.3">
      <c r="A178">
        <v>3</v>
      </c>
      <c r="B178">
        <v>1</v>
      </c>
      <c r="C178">
        <v>0</v>
      </c>
      <c r="D178">
        <v>2</v>
      </c>
      <c r="E178" t="s">
        <v>14</v>
      </c>
      <c r="F178">
        <v>1</v>
      </c>
      <c r="G178">
        <v>0</v>
      </c>
      <c r="H178">
        <v>2</v>
      </c>
    </row>
    <row r="179" spans="1:8" x14ac:dyDescent="0.3">
      <c r="A179">
        <v>3</v>
      </c>
      <c r="B179">
        <v>1</v>
      </c>
      <c r="C179">
        <v>1</v>
      </c>
      <c r="D179">
        <v>1</v>
      </c>
      <c r="E179" t="s">
        <v>14</v>
      </c>
      <c r="F179">
        <v>1</v>
      </c>
      <c r="G179">
        <v>1</v>
      </c>
      <c r="H179">
        <v>1</v>
      </c>
    </row>
    <row r="180" spans="1:8" x14ac:dyDescent="0.3">
      <c r="A180">
        <v>3</v>
      </c>
      <c r="B180">
        <v>1</v>
      </c>
      <c r="C180">
        <v>1</v>
      </c>
      <c r="D180">
        <v>1</v>
      </c>
      <c r="E180" t="s">
        <v>14</v>
      </c>
      <c r="F180">
        <v>1</v>
      </c>
      <c r="G180">
        <v>1</v>
      </c>
      <c r="H180">
        <v>1</v>
      </c>
    </row>
    <row r="181" spans="1:8" x14ac:dyDescent="0.3">
      <c r="A181">
        <v>3</v>
      </c>
      <c r="B181">
        <v>2</v>
      </c>
      <c r="C181">
        <v>1</v>
      </c>
      <c r="D181">
        <v>0</v>
      </c>
      <c r="E181" t="s">
        <v>14</v>
      </c>
      <c r="F181">
        <v>2</v>
      </c>
      <c r="G181">
        <v>1</v>
      </c>
      <c r="H181">
        <v>0</v>
      </c>
    </row>
    <row r="182" spans="1:8" x14ac:dyDescent="0.3">
      <c r="A182">
        <v>3</v>
      </c>
      <c r="B182">
        <v>0</v>
      </c>
      <c r="C182">
        <v>2</v>
      </c>
      <c r="D182">
        <v>1</v>
      </c>
      <c r="E182" t="s">
        <v>14</v>
      </c>
      <c r="F182">
        <v>0</v>
      </c>
      <c r="G182">
        <v>2</v>
      </c>
      <c r="H182">
        <v>1</v>
      </c>
    </row>
    <row r="183" spans="1:8" x14ac:dyDescent="0.3">
      <c r="A183">
        <v>3</v>
      </c>
      <c r="B183">
        <v>1</v>
      </c>
      <c r="C183">
        <v>1</v>
      </c>
      <c r="D183">
        <v>1</v>
      </c>
      <c r="E183" t="s">
        <v>14</v>
      </c>
      <c r="F183">
        <v>1</v>
      </c>
      <c r="G183">
        <v>0</v>
      </c>
      <c r="H183">
        <v>2</v>
      </c>
    </row>
    <row r="184" spans="1:8" x14ac:dyDescent="0.3">
      <c r="A184">
        <v>3</v>
      </c>
      <c r="B184">
        <v>1</v>
      </c>
      <c r="C184">
        <v>1</v>
      </c>
      <c r="D184">
        <v>1</v>
      </c>
      <c r="E184" t="s">
        <v>14</v>
      </c>
      <c r="F184">
        <v>1</v>
      </c>
      <c r="G184">
        <v>1</v>
      </c>
      <c r="H184">
        <v>1</v>
      </c>
    </row>
    <row r="185" spans="1:8" x14ac:dyDescent="0.3">
      <c r="A185">
        <v>3</v>
      </c>
      <c r="B185">
        <v>1</v>
      </c>
      <c r="C185">
        <v>1</v>
      </c>
      <c r="D185">
        <v>1</v>
      </c>
      <c r="E185" t="s">
        <v>14</v>
      </c>
      <c r="F185">
        <v>1</v>
      </c>
      <c r="G185">
        <v>1</v>
      </c>
      <c r="H185">
        <v>1</v>
      </c>
    </row>
    <row r="186" spans="1:8" x14ac:dyDescent="0.3">
      <c r="A186">
        <v>3</v>
      </c>
      <c r="B186">
        <v>2</v>
      </c>
      <c r="C186">
        <v>1</v>
      </c>
      <c r="D186">
        <v>0</v>
      </c>
      <c r="E186" t="s">
        <v>14</v>
      </c>
      <c r="F186">
        <v>2</v>
      </c>
      <c r="G186">
        <v>1</v>
      </c>
      <c r="H186">
        <v>0</v>
      </c>
    </row>
    <row r="187" spans="1:8" x14ac:dyDescent="0.3">
      <c r="A187">
        <v>4</v>
      </c>
      <c r="B187">
        <v>2</v>
      </c>
      <c r="C187">
        <v>1</v>
      </c>
      <c r="D187">
        <v>1</v>
      </c>
      <c r="E187" t="s">
        <v>14</v>
      </c>
      <c r="F187">
        <v>0</v>
      </c>
      <c r="G187">
        <v>2</v>
      </c>
      <c r="H187">
        <v>2</v>
      </c>
    </row>
    <row r="188" spans="1:8" x14ac:dyDescent="0.3">
      <c r="A188">
        <v>4</v>
      </c>
      <c r="B188">
        <v>1</v>
      </c>
      <c r="C188">
        <v>1</v>
      </c>
      <c r="D188">
        <v>2</v>
      </c>
      <c r="E188" t="s">
        <v>14</v>
      </c>
      <c r="F188">
        <v>1</v>
      </c>
      <c r="G188">
        <v>1</v>
      </c>
      <c r="H188">
        <v>2</v>
      </c>
    </row>
    <row r="189" spans="1:8" x14ac:dyDescent="0.3">
      <c r="A189">
        <v>4</v>
      </c>
      <c r="B189">
        <v>1</v>
      </c>
      <c r="C189">
        <v>2</v>
      </c>
      <c r="D189">
        <v>1</v>
      </c>
      <c r="E189" t="s">
        <v>14</v>
      </c>
      <c r="F189">
        <v>1</v>
      </c>
      <c r="G189">
        <v>2</v>
      </c>
      <c r="H189">
        <v>1</v>
      </c>
    </row>
    <row r="190" spans="1:8" x14ac:dyDescent="0.3">
      <c r="A190">
        <v>4</v>
      </c>
      <c r="B190">
        <v>1</v>
      </c>
      <c r="C190">
        <v>1</v>
      </c>
      <c r="D190">
        <v>2</v>
      </c>
      <c r="E190" t="s">
        <v>14</v>
      </c>
      <c r="F190">
        <v>1</v>
      </c>
      <c r="G190">
        <v>1</v>
      </c>
      <c r="H190">
        <v>2</v>
      </c>
    </row>
    <row r="191" spans="1:8" x14ac:dyDescent="0.3">
      <c r="A191">
        <v>4</v>
      </c>
      <c r="B191">
        <v>2</v>
      </c>
      <c r="C191">
        <v>1</v>
      </c>
      <c r="D191">
        <v>1</v>
      </c>
      <c r="E191" t="s">
        <v>14</v>
      </c>
      <c r="F191">
        <v>2</v>
      </c>
      <c r="G191">
        <v>0</v>
      </c>
      <c r="H191">
        <v>2</v>
      </c>
    </row>
    <row r="192" spans="1:8" x14ac:dyDescent="0.3">
      <c r="A192">
        <v>4</v>
      </c>
      <c r="B192">
        <v>2</v>
      </c>
      <c r="C192">
        <v>1</v>
      </c>
      <c r="D192">
        <v>1</v>
      </c>
      <c r="E192" t="s">
        <v>14</v>
      </c>
      <c r="F192">
        <v>0</v>
      </c>
      <c r="G192">
        <v>2</v>
      </c>
      <c r="H192">
        <v>2</v>
      </c>
    </row>
    <row r="193" spans="1:8" x14ac:dyDescent="0.3">
      <c r="A193">
        <v>4</v>
      </c>
      <c r="B193">
        <v>1</v>
      </c>
      <c r="C193">
        <v>2</v>
      </c>
      <c r="D193">
        <v>1</v>
      </c>
      <c r="E193" t="s">
        <v>14</v>
      </c>
      <c r="F193">
        <v>2</v>
      </c>
      <c r="G193">
        <v>2</v>
      </c>
      <c r="H193">
        <v>0</v>
      </c>
    </row>
    <row r="194" spans="1:8" x14ac:dyDescent="0.3">
      <c r="A194">
        <v>4</v>
      </c>
      <c r="B194">
        <v>1</v>
      </c>
      <c r="C194">
        <v>1</v>
      </c>
      <c r="D194">
        <v>2</v>
      </c>
      <c r="E194" t="s">
        <v>14</v>
      </c>
      <c r="F194">
        <v>2</v>
      </c>
      <c r="G194">
        <v>0</v>
      </c>
      <c r="H194">
        <v>2</v>
      </c>
    </row>
    <row r="195" spans="1:8" x14ac:dyDescent="0.3">
      <c r="A195">
        <v>4</v>
      </c>
      <c r="B195">
        <v>2</v>
      </c>
      <c r="C195">
        <v>1</v>
      </c>
      <c r="D195">
        <v>1</v>
      </c>
      <c r="E195" t="s">
        <v>14</v>
      </c>
      <c r="F195">
        <v>2</v>
      </c>
      <c r="G195">
        <v>0</v>
      </c>
      <c r="H195">
        <v>2</v>
      </c>
    </row>
    <row r="196" spans="1:8" x14ac:dyDescent="0.3">
      <c r="A196">
        <v>4</v>
      </c>
      <c r="B196">
        <v>1</v>
      </c>
      <c r="C196">
        <v>2</v>
      </c>
      <c r="D196">
        <v>1</v>
      </c>
      <c r="E196" t="s">
        <v>14</v>
      </c>
      <c r="F196">
        <v>1</v>
      </c>
      <c r="G196">
        <v>2</v>
      </c>
      <c r="H196">
        <v>1</v>
      </c>
    </row>
    <row r="197" spans="1:8" x14ac:dyDescent="0.3">
      <c r="A197">
        <v>4</v>
      </c>
      <c r="B197">
        <v>1</v>
      </c>
      <c r="C197">
        <v>2</v>
      </c>
      <c r="D197">
        <v>1</v>
      </c>
      <c r="E197" t="s">
        <v>14</v>
      </c>
      <c r="F197">
        <v>2</v>
      </c>
      <c r="G197">
        <v>0</v>
      </c>
      <c r="H197">
        <v>2</v>
      </c>
    </row>
    <row r="198" spans="1:8" x14ac:dyDescent="0.3">
      <c r="A198">
        <v>4</v>
      </c>
      <c r="B198">
        <v>2</v>
      </c>
      <c r="C198">
        <v>1</v>
      </c>
      <c r="D198">
        <v>1</v>
      </c>
      <c r="E198" t="s">
        <v>14</v>
      </c>
      <c r="F198">
        <v>2</v>
      </c>
      <c r="G198">
        <v>1</v>
      </c>
      <c r="H198">
        <v>1</v>
      </c>
    </row>
    <row r="199" spans="1:8" x14ac:dyDescent="0.3">
      <c r="A199">
        <v>4</v>
      </c>
      <c r="B199">
        <v>2</v>
      </c>
      <c r="C199">
        <v>1</v>
      </c>
      <c r="D199">
        <v>1</v>
      </c>
      <c r="E199" t="s">
        <v>14</v>
      </c>
      <c r="F199">
        <v>2</v>
      </c>
      <c r="G199">
        <v>0</v>
      </c>
      <c r="H199">
        <v>2</v>
      </c>
    </row>
    <row r="200" spans="1:8" x14ac:dyDescent="0.3">
      <c r="A200">
        <v>5</v>
      </c>
      <c r="B200">
        <v>2</v>
      </c>
      <c r="C200">
        <v>2</v>
      </c>
      <c r="D200">
        <v>1</v>
      </c>
      <c r="E200" t="s">
        <v>14</v>
      </c>
      <c r="F200">
        <v>2</v>
      </c>
      <c r="G200">
        <v>3</v>
      </c>
      <c r="H200">
        <v>0</v>
      </c>
    </row>
    <row r="201" spans="1:8" x14ac:dyDescent="0.3">
      <c r="A201">
        <v>5</v>
      </c>
      <c r="B201">
        <v>1</v>
      </c>
      <c r="C201">
        <v>2</v>
      </c>
      <c r="D201">
        <v>2</v>
      </c>
      <c r="E201" t="s">
        <v>14</v>
      </c>
      <c r="F201">
        <v>1</v>
      </c>
      <c r="G201">
        <v>2</v>
      </c>
      <c r="H201">
        <v>2</v>
      </c>
    </row>
    <row r="202" spans="1:8" x14ac:dyDescent="0.3">
      <c r="A202">
        <v>5</v>
      </c>
      <c r="B202">
        <v>2</v>
      </c>
      <c r="C202">
        <v>2</v>
      </c>
      <c r="D202">
        <v>1</v>
      </c>
      <c r="E202" t="s">
        <v>14</v>
      </c>
      <c r="F202">
        <v>3</v>
      </c>
      <c r="G202">
        <v>0</v>
      </c>
      <c r="H202">
        <v>2</v>
      </c>
    </row>
    <row r="203" spans="1:8" x14ac:dyDescent="0.3">
      <c r="A203">
        <v>6</v>
      </c>
      <c r="B203">
        <v>2</v>
      </c>
      <c r="C203">
        <v>2</v>
      </c>
      <c r="D203">
        <v>2</v>
      </c>
      <c r="E203" t="s">
        <v>14</v>
      </c>
      <c r="F203">
        <v>2</v>
      </c>
      <c r="G203">
        <v>2</v>
      </c>
      <c r="H203">
        <v>2</v>
      </c>
    </row>
    <row r="204" spans="1:8" x14ac:dyDescent="0.3">
      <c r="A204">
        <v>6</v>
      </c>
      <c r="B204">
        <v>1</v>
      </c>
      <c r="C204">
        <v>2</v>
      </c>
      <c r="D204">
        <v>3</v>
      </c>
      <c r="E204" t="s">
        <v>14</v>
      </c>
      <c r="F204">
        <v>1</v>
      </c>
      <c r="G204">
        <v>2</v>
      </c>
      <c r="H204">
        <v>3</v>
      </c>
    </row>
    <row r="205" spans="1:8" x14ac:dyDescent="0.3">
      <c r="A205">
        <v>6</v>
      </c>
      <c r="B205">
        <v>1</v>
      </c>
      <c r="C205">
        <v>2</v>
      </c>
      <c r="D205">
        <v>3</v>
      </c>
      <c r="E205" t="s">
        <v>14</v>
      </c>
      <c r="F205">
        <v>1</v>
      </c>
      <c r="G205">
        <v>2</v>
      </c>
      <c r="H205">
        <v>3</v>
      </c>
    </row>
    <row r="206" spans="1:8" x14ac:dyDescent="0.3">
      <c r="A206">
        <v>6</v>
      </c>
      <c r="B206">
        <v>2</v>
      </c>
      <c r="C206">
        <v>2</v>
      </c>
      <c r="D206">
        <v>2</v>
      </c>
      <c r="E206" t="s">
        <v>14</v>
      </c>
      <c r="F206">
        <v>2</v>
      </c>
      <c r="G206">
        <v>2</v>
      </c>
      <c r="H206">
        <v>2</v>
      </c>
    </row>
    <row r="207" spans="1:8" x14ac:dyDescent="0.3">
      <c r="A207">
        <v>6</v>
      </c>
      <c r="B207">
        <v>3</v>
      </c>
      <c r="C207">
        <v>1</v>
      </c>
      <c r="D207">
        <v>2</v>
      </c>
      <c r="E207" t="s">
        <v>14</v>
      </c>
      <c r="F207">
        <v>3</v>
      </c>
      <c r="G207">
        <v>1</v>
      </c>
      <c r="H207">
        <v>2</v>
      </c>
    </row>
    <row r="208" spans="1:8" x14ac:dyDescent="0.3">
      <c r="A208">
        <v>7</v>
      </c>
      <c r="B208">
        <v>2</v>
      </c>
      <c r="C208">
        <v>3</v>
      </c>
      <c r="D208">
        <v>2</v>
      </c>
      <c r="E208" t="s">
        <v>14</v>
      </c>
      <c r="F208">
        <v>2</v>
      </c>
      <c r="G208">
        <v>3</v>
      </c>
      <c r="H208">
        <v>2</v>
      </c>
    </row>
    <row r="209" spans="1:8" x14ac:dyDescent="0.3">
      <c r="A209">
        <v>8</v>
      </c>
      <c r="B209">
        <v>3</v>
      </c>
      <c r="C209">
        <v>3</v>
      </c>
      <c r="D209">
        <v>2</v>
      </c>
      <c r="E209" t="s">
        <v>14</v>
      </c>
      <c r="F209">
        <v>3</v>
      </c>
      <c r="G209">
        <v>3</v>
      </c>
      <c r="H209">
        <v>2</v>
      </c>
    </row>
    <row r="210" spans="1:8" x14ac:dyDescent="0.3">
      <c r="A210">
        <v>8</v>
      </c>
      <c r="B210">
        <v>3</v>
      </c>
      <c r="C210">
        <v>3</v>
      </c>
      <c r="D210">
        <v>2</v>
      </c>
      <c r="E210" t="s">
        <v>14</v>
      </c>
      <c r="F210">
        <v>3</v>
      </c>
      <c r="G210">
        <v>3</v>
      </c>
      <c r="H210">
        <v>2</v>
      </c>
    </row>
    <row r="211" spans="1:8" x14ac:dyDescent="0.3">
      <c r="A211">
        <v>2</v>
      </c>
      <c r="B211">
        <v>1</v>
      </c>
      <c r="C211">
        <v>1</v>
      </c>
      <c r="D211">
        <v>0</v>
      </c>
      <c r="E211" t="s">
        <v>14</v>
      </c>
      <c r="F211">
        <v>1</v>
      </c>
      <c r="G211">
        <v>1</v>
      </c>
      <c r="H211">
        <v>0</v>
      </c>
    </row>
    <row r="212" spans="1:8" x14ac:dyDescent="0.3">
      <c r="A212">
        <v>2</v>
      </c>
      <c r="B212">
        <v>0</v>
      </c>
      <c r="C212">
        <v>1</v>
      </c>
      <c r="D212">
        <v>1</v>
      </c>
      <c r="E212" t="s">
        <v>14</v>
      </c>
      <c r="F212">
        <v>0</v>
      </c>
      <c r="G212">
        <v>1</v>
      </c>
      <c r="H212">
        <v>1</v>
      </c>
    </row>
    <row r="213" spans="1:8" x14ac:dyDescent="0.3">
      <c r="A213">
        <v>2</v>
      </c>
      <c r="B213">
        <v>1</v>
      </c>
      <c r="C213">
        <v>0</v>
      </c>
      <c r="D213">
        <v>1</v>
      </c>
      <c r="E213" t="s">
        <v>14</v>
      </c>
      <c r="F213">
        <v>2</v>
      </c>
      <c r="G213">
        <v>0</v>
      </c>
      <c r="H213">
        <v>0</v>
      </c>
    </row>
    <row r="214" spans="1:8" x14ac:dyDescent="0.3">
      <c r="A214">
        <v>2</v>
      </c>
      <c r="B214">
        <v>1</v>
      </c>
      <c r="C214">
        <v>0</v>
      </c>
      <c r="D214">
        <v>1</v>
      </c>
      <c r="E214" t="s">
        <v>14</v>
      </c>
      <c r="F214">
        <v>1</v>
      </c>
      <c r="G214">
        <v>0</v>
      </c>
      <c r="H214">
        <v>1</v>
      </c>
    </row>
    <row r="215" spans="1:8" x14ac:dyDescent="0.3">
      <c r="A215">
        <v>3</v>
      </c>
      <c r="B215">
        <v>1</v>
      </c>
      <c r="C215">
        <v>1</v>
      </c>
      <c r="D215">
        <v>1</v>
      </c>
      <c r="E215" t="s">
        <v>14</v>
      </c>
      <c r="F215">
        <v>2</v>
      </c>
      <c r="G215">
        <v>1</v>
      </c>
      <c r="H215">
        <v>0</v>
      </c>
    </row>
    <row r="216" spans="1:8" x14ac:dyDescent="0.3">
      <c r="A216">
        <v>3</v>
      </c>
      <c r="B216">
        <v>1</v>
      </c>
      <c r="C216">
        <v>0</v>
      </c>
      <c r="D216">
        <v>2</v>
      </c>
      <c r="E216" t="s">
        <v>14</v>
      </c>
      <c r="F216">
        <v>1</v>
      </c>
      <c r="G216">
        <v>0</v>
      </c>
      <c r="H216">
        <v>2</v>
      </c>
    </row>
    <row r="217" spans="1:8" x14ac:dyDescent="0.3">
      <c r="A217">
        <v>3</v>
      </c>
      <c r="B217">
        <v>1</v>
      </c>
      <c r="C217">
        <v>1</v>
      </c>
      <c r="D217">
        <v>1</v>
      </c>
      <c r="E217" t="s">
        <v>14</v>
      </c>
      <c r="F217">
        <v>2</v>
      </c>
      <c r="G217">
        <v>1</v>
      </c>
      <c r="H217">
        <v>0</v>
      </c>
    </row>
    <row r="218" spans="1:8" x14ac:dyDescent="0.3">
      <c r="A218">
        <v>3</v>
      </c>
      <c r="B218">
        <v>1</v>
      </c>
      <c r="C218">
        <v>0</v>
      </c>
      <c r="D218">
        <v>2</v>
      </c>
      <c r="E218" t="s">
        <v>14</v>
      </c>
      <c r="F218">
        <v>0</v>
      </c>
      <c r="G218">
        <v>2</v>
      </c>
      <c r="H218">
        <v>1</v>
      </c>
    </row>
    <row r="219" spans="1:8" x14ac:dyDescent="0.3">
      <c r="A219">
        <v>3</v>
      </c>
      <c r="B219">
        <v>1</v>
      </c>
      <c r="C219">
        <v>1</v>
      </c>
      <c r="D219">
        <v>1</v>
      </c>
      <c r="E219" t="s">
        <v>14</v>
      </c>
      <c r="F219">
        <v>1</v>
      </c>
      <c r="G219">
        <v>0</v>
      </c>
      <c r="H219">
        <v>2</v>
      </c>
    </row>
    <row r="220" spans="1:8" x14ac:dyDescent="0.3">
      <c r="A220">
        <v>3</v>
      </c>
      <c r="B220">
        <v>1</v>
      </c>
      <c r="C220">
        <v>1</v>
      </c>
      <c r="D220">
        <v>1</v>
      </c>
      <c r="E220" t="s">
        <v>14</v>
      </c>
      <c r="F220">
        <v>0</v>
      </c>
      <c r="G220">
        <v>2</v>
      </c>
      <c r="H220">
        <v>1</v>
      </c>
    </row>
    <row r="221" spans="1:8" x14ac:dyDescent="0.3">
      <c r="A221">
        <v>3</v>
      </c>
      <c r="B221">
        <v>1</v>
      </c>
      <c r="C221">
        <v>0</v>
      </c>
      <c r="D221">
        <v>2</v>
      </c>
      <c r="E221" t="s">
        <v>14</v>
      </c>
      <c r="F221">
        <v>1</v>
      </c>
      <c r="G221">
        <v>0</v>
      </c>
      <c r="H221">
        <v>2</v>
      </c>
    </row>
    <row r="222" spans="1:8" x14ac:dyDescent="0.3">
      <c r="A222">
        <v>3</v>
      </c>
      <c r="B222">
        <v>1</v>
      </c>
      <c r="C222">
        <v>1</v>
      </c>
      <c r="D222">
        <v>1</v>
      </c>
      <c r="E222" t="s">
        <v>14</v>
      </c>
      <c r="F222">
        <v>0</v>
      </c>
      <c r="G222">
        <v>2</v>
      </c>
      <c r="H222">
        <v>1</v>
      </c>
    </row>
    <row r="223" spans="1:8" x14ac:dyDescent="0.3">
      <c r="A223">
        <v>3</v>
      </c>
      <c r="B223">
        <v>1</v>
      </c>
      <c r="C223">
        <v>1</v>
      </c>
      <c r="D223">
        <v>1</v>
      </c>
      <c r="E223" t="s">
        <v>14</v>
      </c>
      <c r="F223">
        <v>1</v>
      </c>
      <c r="G223">
        <v>1</v>
      </c>
      <c r="H223">
        <v>1</v>
      </c>
    </row>
    <row r="224" spans="1:8" x14ac:dyDescent="0.3">
      <c r="A224">
        <v>3</v>
      </c>
      <c r="B224">
        <v>2</v>
      </c>
      <c r="C224">
        <v>1</v>
      </c>
      <c r="D224">
        <v>0</v>
      </c>
      <c r="E224" t="s">
        <v>14</v>
      </c>
      <c r="F224">
        <v>2</v>
      </c>
      <c r="G224">
        <v>1</v>
      </c>
      <c r="H224">
        <v>0</v>
      </c>
    </row>
    <row r="225" spans="1:8" x14ac:dyDescent="0.3">
      <c r="A225">
        <v>3</v>
      </c>
      <c r="B225">
        <v>0</v>
      </c>
      <c r="C225">
        <v>2</v>
      </c>
      <c r="D225">
        <v>1</v>
      </c>
      <c r="E225" t="s">
        <v>14</v>
      </c>
      <c r="F225">
        <v>1</v>
      </c>
      <c r="G225">
        <v>0</v>
      </c>
      <c r="H225">
        <v>2</v>
      </c>
    </row>
    <row r="226" spans="1:8" x14ac:dyDescent="0.3">
      <c r="A226">
        <v>3</v>
      </c>
      <c r="B226">
        <v>1</v>
      </c>
      <c r="C226">
        <v>1</v>
      </c>
      <c r="D226">
        <v>1</v>
      </c>
      <c r="E226" t="s">
        <v>14</v>
      </c>
      <c r="F226">
        <v>2</v>
      </c>
      <c r="G226">
        <v>1</v>
      </c>
      <c r="H226">
        <v>0</v>
      </c>
    </row>
    <row r="227" spans="1:8" x14ac:dyDescent="0.3">
      <c r="A227">
        <v>3</v>
      </c>
      <c r="B227">
        <v>1</v>
      </c>
      <c r="C227">
        <v>1</v>
      </c>
      <c r="D227">
        <v>1</v>
      </c>
      <c r="E227" t="s">
        <v>14</v>
      </c>
      <c r="F227">
        <v>0</v>
      </c>
      <c r="G227">
        <v>2</v>
      </c>
      <c r="H227">
        <v>1</v>
      </c>
    </row>
    <row r="228" spans="1:8" x14ac:dyDescent="0.3">
      <c r="A228">
        <v>3</v>
      </c>
      <c r="B228">
        <v>1</v>
      </c>
      <c r="C228">
        <v>1</v>
      </c>
      <c r="D228">
        <v>1</v>
      </c>
      <c r="E228" t="s">
        <v>14</v>
      </c>
      <c r="F228">
        <v>1</v>
      </c>
      <c r="G228">
        <v>1</v>
      </c>
      <c r="H228">
        <v>1</v>
      </c>
    </row>
    <row r="229" spans="1:8" x14ac:dyDescent="0.3">
      <c r="A229">
        <v>3</v>
      </c>
      <c r="B229">
        <v>1</v>
      </c>
      <c r="C229">
        <v>1</v>
      </c>
      <c r="D229">
        <v>1</v>
      </c>
      <c r="E229" t="s">
        <v>14</v>
      </c>
      <c r="F229">
        <v>1</v>
      </c>
      <c r="G229">
        <v>1</v>
      </c>
      <c r="H229">
        <v>1</v>
      </c>
    </row>
    <row r="230" spans="1:8" x14ac:dyDescent="0.3">
      <c r="A230">
        <v>3</v>
      </c>
      <c r="B230">
        <v>0</v>
      </c>
      <c r="C230">
        <v>2</v>
      </c>
      <c r="D230">
        <v>1</v>
      </c>
      <c r="E230" t="s">
        <v>14</v>
      </c>
      <c r="F230">
        <v>0</v>
      </c>
      <c r="G230">
        <v>2</v>
      </c>
      <c r="H230">
        <v>1</v>
      </c>
    </row>
    <row r="231" spans="1:8" x14ac:dyDescent="0.3">
      <c r="A231">
        <v>3</v>
      </c>
      <c r="B231">
        <v>1</v>
      </c>
      <c r="C231">
        <v>0</v>
      </c>
      <c r="D231">
        <v>2</v>
      </c>
      <c r="E231" t="s">
        <v>14</v>
      </c>
      <c r="F231">
        <v>0</v>
      </c>
      <c r="G231">
        <v>2</v>
      </c>
      <c r="H231">
        <v>1</v>
      </c>
    </row>
    <row r="232" spans="1:8" x14ac:dyDescent="0.3">
      <c r="A232">
        <v>3</v>
      </c>
      <c r="B232">
        <v>1</v>
      </c>
      <c r="C232">
        <v>1</v>
      </c>
      <c r="D232">
        <v>1</v>
      </c>
      <c r="E232" t="s">
        <v>14</v>
      </c>
      <c r="F232">
        <v>1</v>
      </c>
      <c r="G232">
        <v>1</v>
      </c>
      <c r="H232">
        <v>1</v>
      </c>
    </row>
    <row r="233" spans="1:8" x14ac:dyDescent="0.3">
      <c r="A233">
        <v>3</v>
      </c>
      <c r="B233">
        <v>1</v>
      </c>
      <c r="C233">
        <v>1</v>
      </c>
      <c r="D233">
        <v>1</v>
      </c>
      <c r="E233" t="s">
        <v>14</v>
      </c>
      <c r="F233">
        <v>1</v>
      </c>
      <c r="G233">
        <v>1</v>
      </c>
      <c r="H233">
        <v>1</v>
      </c>
    </row>
    <row r="234" spans="1:8" x14ac:dyDescent="0.3">
      <c r="A234">
        <v>3</v>
      </c>
      <c r="B234">
        <v>1</v>
      </c>
      <c r="C234">
        <v>1</v>
      </c>
      <c r="D234">
        <v>1</v>
      </c>
      <c r="E234" t="s">
        <v>14</v>
      </c>
      <c r="F234">
        <v>1</v>
      </c>
      <c r="G234">
        <v>1</v>
      </c>
      <c r="H234">
        <v>1</v>
      </c>
    </row>
    <row r="235" spans="1:8" x14ac:dyDescent="0.3">
      <c r="A235">
        <v>3</v>
      </c>
      <c r="B235">
        <v>1</v>
      </c>
      <c r="C235">
        <v>1</v>
      </c>
      <c r="D235">
        <v>1</v>
      </c>
      <c r="E235" t="s">
        <v>14</v>
      </c>
      <c r="F235">
        <v>2</v>
      </c>
      <c r="G235">
        <v>1</v>
      </c>
      <c r="H235">
        <v>0</v>
      </c>
    </row>
    <row r="236" spans="1:8" x14ac:dyDescent="0.3">
      <c r="A236">
        <v>3</v>
      </c>
      <c r="B236">
        <v>2</v>
      </c>
      <c r="C236">
        <v>1</v>
      </c>
      <c r="D236">
        <v>0</v>
      </c>
      <c r="E236" t="s">
        <v>14</v>
      </c>
      <c r="F236">
        <v>1</v>
      </c>
      <c r="G236">
        <v>0</v>
      </c>
      <c r="H236">
        <v>2</v>
      </c>
    </row>
    <row r="237" spans="1:8" x14ac:dyDescent="0.3">
      <c r="A237">
        <v>3</v>
      </c>
      <c r="B237">
        <v>1</v>
      </c>
      <c r="C237">
        <v>1</v>
      </c>
      <c r="D237">
        <v>1</v>
      </c>
      <c r="E237" t="s">
        <v>14</v>
      </c>
      <c r="F237">
        <v>1</v>
      </c>
      <c r="G237">
        <v>1</v>
      </c>
      <c r="H237">
        <v>1</v>
      </c>
    </row>
    <row r="238" spans="1:8" x14ac:dyDescent="0.3">
      <c r="A238">
        <v>3</v>
      </c>
      <c r="B238">
        <v>0</v>
      </c>
      <c r="C238">
        <v>2</v>
      </c>
      <c r="D238">
        <v>1</v>
      </c>
      <c r="E238" t="s">
        <v>14</v>
      </c>
      <c r="F238">
        <v>0</v>
      </c>
      <c r="G238">
        <v>2</v>
      </c>
      <c r="H238">
        <v>1</v>
      </c>
    </row>
    <row r="239" spans="1:8" x14ac:dyDescent="0.3">
      <c r="A239">
        <v>3</v>
      </c>
      <c r="B239">
        <v>0</v>
      </c>
      <c r="C239">
        <v>2</v>
      </c>
      <c r="D239">
        <v>1</v>
      </c>
      <c r="E239" t="s">
        <v>14</v>
      </c>
      <c r="F239">
        <v>2</v>
      </c>
      <c r="G239">
        <v>1</v>
      </c>
      <c r="H239">
        <v>0</v>
      </c>
    </row>
    <row r="240" spans="1:8" x14ac:dyDescent="0.3">
      <c r="A240">
        <v>3</v>
      </c>
      <c r="B240">
        <v>1</v>
      </c>
      <c r="C240">
        <v>0</v>
      </c>
      <c r="D240">
        <v>2</v>
      </c>
      <c r="E240" t="s">
        <v>14</v>
      </c>
      <c r="F240">
        <v>1</v>
      </c>
      <c r="G240">
        <v>0</v>
      </c>
      <c r="H240">
        <v>2</v>
      </c>
    </row>
    <row r="241" spans="1:8" x14ac:dyDescent="0.3">
      <c r="A241">
        <v>3</v>
      </c>
      <c r="B241">
        <v>1</v>
      </c>
      <c r="C241">
        <v>1</v>
      </c>
      <c r="D241">
        <v>1</v>
      </c>
      <c r="E241" t="s">
        <v>14</v>
      </c>
      <c r="F241">
        <v>0</v>
      </c>
      <c r="G241">
        <v>2</v>
      </c>
      <c r="H241">
        <v>1</v>
      </c>
    </row>
    <row r="242" spans="1:8" x14ac:dyDescent="0.3">
      <c r="A242">
        <v>3</v>
      </c>
      <c r="B242">
        <v>1</v>
      </c>
      <c r="C242">
        <v>1</v>
      </c>
      <c r="D242">
        <v>1</v>
      </c>
      <c r="E242" t="s">
        <v>14</v>
      </c>
      <c r="F242">
        <v>0</v>
      </c>
      <c r="G242">
        <v>2</v>
      </c>
      <c r="H242">
        <v>1</v>
      </c>
    </row>
    <row r="243" spans="1:8" x14ac:dyDescent="0.3">
      <c r="A243">
        <v>3</v>
      </c>
      <c r="B243">
        <v>1</v>
      </c>
      <c r="C243">
        <v>1</v>
      </c>
      <c r="D243">
        <v>1</v>
      </c>
      <c r="E243" t="s">
        <v>14</v>
      </c>
      <c r="F243">
        <v>1</v>
      </c>
      <c r="G243">
        <v>1</v>
      </c>
      <c r="H243">
        <v>1</v>
      </c>
    </row>
    <row r="244" spans="1:8" x14ac:dyDescent="0.3">
      <c r="A244">
        <v>3</v>
      </c>
      <c r="B244">
        <v>1</v>
      </c>
      <c r="C244">
        <v>1</v>
      </c>
      <c r="D244">
        <v>1</v>
      </c>
      <c r="E244" t="s">
        <v>14</v>
      </c>
      <c r="F244">
        <v>1</v>
      </c>
      <c r="G244">
        <v>1</v>
      </c>
      <c r="H244">
        <v>1</v>
      </c>
    </row>
    <row r="245" spans="1:8" x14ac:dyDescent="0.3">
      <c r="A245">
        <v>3</v>
      </c>
      <c r="B245">
        <v>1</v>
      </c>
      <c r="C245">
        <v>1</v>
      </c>
      <c r="D245">
        <v>1</v>
      </c>
      <c r="E245" t="s">
        <v>14</v>
      </c>
      <c r="F245">
        <v>1</v>
      </c>
      <c r="G245">
        <v>1</v>
      </c>
      <c r="H245">
        <v>1</v>
      </c>
    </row>
    <row r="246" spans="1:8" x14ac:dyDescent="0.3">
      <c r="A246">
        <v>3</v>
      </c>
      <c r="B246">
        <v>1</v>
      </c>
      <c r="C246">
        <v>1</v>
      </c>
      <c r="D246">
        <v>1</v>
      </c>
      <c r="E246" t="s">
        <v>14</v>
      </c>
      <c r="F246">
        <v>1</v>
      </c>
      <c r="G246">
        <v>0</v>
      </c>
      <c r="H246">
        <v>2</v>
      </c>
    </row>
    <row r="247" spans="1:8" x14ac:dyDescent="0.3">
      <c r="A247">
        <v>3</v>
      </c>
      <c r="B247">
        <v>2</v>
      </c>
      <c r="C247">
        <v>1</v>
      </c>
      <c r="D247">
        <v>0</v>
      </c>
      <c r="E247" t="s">
        <v>14</v>
      </c>
      <c r="F247">
        <v>2</v>
      </c>
      <c r="G247">
        <v>1</v>
      </c>
      <c r="H247">
        <v>0</v>
      </c>
    </row>
    <row r="248" spans="1:8" x14ac:dyDescent="0.3">
      <c r="A248">
        <v>3</v>
      </c>
      <c r="B248">
        <v>2</v>
      </c>
      <c r="C248">
        <v>1</v>
      </c>
      <c r="D248">
        <v>0</v>
      </c>
      <c r="E248" t="s">
        <v>14</v>
      </c>
      <c r="F248">
        <v>0</v>
      </c>
      <c r="G248">
        <v>2</v>
      </c>
      <c r="H248">
        <v>1</v>
      </c>
    </row>
    <row r="249" spans="1:8" x14ac:dyDescent="0.3">
      <c r="A249">
        <v>3</v>
      </c>
      <c r="B249">
        <v>1</v>
      </c>
      <c r="C249">
        <v>1</v>
      </c>
      <c r="D249">
        <v>1</v>
      </c>
      <c r="E249" t="s">
        <v>14</v>
      </c>
      <c r="F249">
        <v>1</v>
      </c>
      <c r="G249">
        <v>1</v>
      </c>
      <c r="H249">
        <v>1</v>
      </c>
    </row>
    <row r="250" spans="1:8" x14ac:dyDescent="0.3">
      <c r="A250">
        <v>3</v>
      </c>
      <c r="B250">
        <v>1</v>
      </c>
      <c r="C250">
        <v>1</v>
      </c>
      <c r="D250">
        <v>1</v>
      </c>
      <c r="E250" t="s">
        <v>14</v>
      </c>
      <c r="F250">
        <v>2</v>
      </c>
      <c r="G250">
        <v>1</v>
      </c>
      <c r="H250">
        <v>0</v>
      </c>
    </row>
    <row r="251" spans="1:8" x14ac:dyDescent="0.3">
      <c r="A251">
        <v>3</v>
      </c>
      <c r="B251">
        <v>1</v>
      </c>
      <c r="C251">
        <v>0</v>
      </c>
      <c r="D251">
        <v>2</v>
      </c>
      <c r="E251" t="s">
        <v>14</v>
      </c>
      <c r="F251">
        <v>1</v>
      </c>
      <c r="G251">
        <v>0</v>
      </c>
      <c r="H251">
        <v>2</v>
      </c>
    </row>
    <row r="252" spans="1:8" x14ac:dyDescent="0.3">
      <c r="A252">
        <v>3</v>
      </c>
      <c r="B252">
        <v>0</v>
      </c>
      <c r="C252">
        <v>2</v>
      </c>
      <c r="D252">
        <v>1</v>
      </c>
      <c r="E252" t="s">
        <v>14</v>
      </c>
      <c r="F252">
        <v>0</v>
      </c>
      <c r="G252">
        <v>2</v>
      </c>
      <c r="H252">
        <v>1</v>
      </c>
    </row>
    <row r="253" spans="1:8" x14ac:dyDescent="0.3">
      <c r="A253">
        <v>3</v>
      </c>
      <c r="B253">
        <v>1</v>
      </c>
      <c r="C253">
        <v>1</v>
      </c>
      <c r="D253">
        <v>1</v>
      </c>
      <c r="E253" t="s">
        <v>14</v>
      </c>
      <c r="F253">
        <v>1</v>
      </c>
      <c r="G253">
        <v>1</v>
      </c>
      <c r="H253">
        <v>1</v>
      </c>
    </row>
    <row r="254" spans="1:8" x14ac:dyDescent="0.3">
      <c r="A254">
        <v>3</v>
      </c>
      <c r="B254">
        <v>1</v>
      </c>
      <c r="C254">
        <v>1</v>
      </c>
      <c r="D254">
        <v>1</v>
      </c>
      <c r="E254" t="s">
        <v>14</v>
      </c>
      <c r="F254">
        <v>1</v>
      </c>
      <c r="G254">
        <v>0</v>
      </c>
      <c r="H254">
        <v>2</v>
      </c>
    </row>
    <row r="255" spans="1:8" x14ac:dyDescent="0.3">
      <c r="A255">
        <v>3</v>
      </c>
      <c r="B255">
        <v>1</v>
      </c>
      <c r="C255">
        <v>1</v>
      </c>
      <c r="D255">
        <v>1</v>
      </c>
      <c r="E255" t="s">
        <v>14</v>
      </c>
      <c r="F255">
        <v>1</v>
      </c>
      <c r="G255">
        <v>1</v>
      </c>
      <c r="H255">
        <v>1</v>
      </c>
    </row>
    <row r="256" spans="1:8" x14ac:dyDescent="0.3">
      <c r="A256">
        <v>3</v>
      </c>
      <c r="B256">
        <v>1</v>
      </c>
      <c r="C256">
        <v>1</v>
      </c>
      <c r="D256">
        <v>1</v>
      </c>
      <c r="E256" t="s">
        <v>14</v>
      </c>
      <c r="F256">
        <v>2</v>
      </c>
      <c r="G256">
        <v>1</v>
      </c>
      <c r="H256">
        <v>0</v>
      </c>
    </row>
    <row r="257" spans="1:8" x14ac:dyDescent="0.3">
      <c r="A257">
        <v>3</v>
      </c>
      <c r="B257">
        <v>1</v>
      </c>
      <c r="C257">
        <v>1</v>
      </c>
      <c r="D257">
        <v>1</v>
      </c>
      <c r="E257" t="s">
        <v>14</v>
      </c>
      <c r="F257">
        <v>1</v>
      </c>
      <c r="G257">
        <v>1</v>
      </c>
      <c r="H257">
        <v>1</v>
      </c>
    </row>
    <row r="258" spans="1:8" x14ac:dyDescent="0.3">
      <c r="A258">
        <v>3</v>
      </c>
      <c r="B258">
        <v>1</v>
      </c>
      <c r="C258">
        <v>1</v>
      </c>
      <c r="D258">
        <v>1</v>
      </c>
      <c r="E258" t="s">
        <v>14</v>
      </c>
      <c r="F258">
        <v>2</v>
      </c>
      <c r="G258">
        <v>1</v>
      </c>
      <c r="H258">
        <v>0</v>
      </c>
    </row>
    <row r="259" spans="1:8" x14ac:dyDescent="0.3">
      <c r="A259">
        <v>3</v>
      </c>
      <c r="B259">
        <v>2</v>
      </c>
      <c r="C259">
        <v>1</v>
      </c>
      <c r="D259">
        <v>0</v>
      </c>
      <c r="E259" t="s">
        <v>14</v>
      </c>
      <c r="F259">
        <v>2</v>
      </c>
      <c r="G259">
        <v>1</v>
      </c>
      <c r="H259">
        <v>0</v>
      </c>
    </row>
    <row r="260" spans="1:8" x14ac:dyDescent="0.3">
      <c r="A260">
        <v>3</v>
      </c>
      <c r="B260">
        <v>1</v>
      </c>
      <c r="C260">
        <v>1</v>
      </c>
      <c r="D260">
        <v>1</v>
      </c>
      <c r="E260" t="s">
        <v>14</v>
      </c>
      <c r="F260">
        <v>1</v>
      </c>
      <c r="G260">
        <v>0</v>
      </c>
      <c r="H260">
        <v>2</v>
      </c>
    </row>
    <row r="261" spans="1:8" x14ac:dyDescent="0.3">
      <c r="A261">
        <v>3</v>
      </c>
      <c r="B261">
        <v>1</v>
      </c>
      <c r="C261">
        <v>0</v>
      </c>
      <c r="D261">
        <v>2</v>
      </c>
      <c r="E261" t="s">
        <v>14</v>
      </c>
      <c r="F261">
        <v>1</v>
      </c>
      <c r="G261">
        <v>0</v>
      </c>
      <c r="H261">
        <v>2</v>
      </c>
    </row>
    <row r="262" spans="1:8" x14ac:dyDescent="0.3">
      <c r="A262">
        <v>3</v>
      </c>
      <c r="B262">
        <v>1</v>
      </c>
      <c r="C262">
        <v>1</v>
      </c>
      <c r="D262">
        <v>1</v>
      </c>
      <c r="E262" t="s">
        <v>14</v>
      </c>
      <c r="F262">
        <v>0</v>
      </c>
      <c r="G262">
        <v>2</v>
      </c>
      <c r="H262">
        <v>1</v>
      </c>
    </row>
    <row r="263" spans="1:8" x14ac:dyDescent="0.3">
      <c r="A263">
        <v>3</v>
      </c>
      <c r="B263">
        <v>1</v>
      </c>
      <c r="C263">
        <v>1</v>
      </c>
      <c r="D263">
        <v>1</v>
      </c>
      <c r="E263" t="s">
        <v>14</v>
      </c>
      <c r="F263">
        <v>0</v>
      </c>
      <c r="G263">
        <v>2</v>
      </c>
      <c r="H263">
        <v>1</v>
      </c>
    </row>
    <row r="264" spans="1:8" x14ac:dyDescent="0.3">
      <c r="A264">
        <v>4</v>
      </c>
      <c r="B264">
        <v>1</v>
      </c>
      <c r="C264">
        <v>1</v>
      </c>
      <c r="D264">
        <v>2</v>
      </c>
      <c r="E264" t="s">
        <v>14</v>
      </c>
      <c r="F264">
        <v>1</v>
      </c>
      <c r="G264">
        <v>1</v>
      </c>
      <c r="H264">
        <v>2</v>
      </c>
    </row>
    <row r="265" spans="1:8" x14ac:dyDescent="0.3">
      <c r="A265">
        <v>4</v>
      </c>
      <c r="B265">
        <v>1</v>
      </c>
      <c r="C265">
        <v>1</v>
      </c>
      <c r="D265">
        <v>2</v>
      </c>
      <c r="E265" t="s">
        <v>14</v>
      </c>
      <c r="F265">
        <v>1</v>
      </c>
      <c r="G265">
        <v>1</v>
      </c>
      <c r="H265">
        <v>2</v>
      </c>
    </row>
    <row r="266" spans="1:8" x14ac:dyDescent="0.3">
      <c r="A266">
        <v>4</v>
      </c>
      <c r="B266">
        <v>1</v>
      </c>
      <c r="C266">
        <v>1</v>
      </c>
      <c r="D266">
        <v>2</v>
      </c>
      <c r="E266" t="s">
        <v>14</v>
      </c>
      <c r="F266">
        <v>1</v>
      </c>
      <c r="G266">
        <v>1</v>
      </c>
      <c r="H266">
        <v>2</v>
      </c>
    </row>
    <row r="267" spans="1:8" x14ac:dyDescent="0.3">
      <c r="A267">
        <v>4</v>
      </c>
      <c r="B267">
        <v>2</v>
      </c>
      <c r="C267">
        <v>1</v>
      </c>
      <c r="D267">
        <v>1</v>
      </c>
      <c r="E267" t="s">
        <v>14</v>
      </c>
      <c r="F267">
        <v>0</v>
      </c>
      <c r="G267">
        <v>2</v>
      </c>
      <c r="H267">
        <v>2</v>
      </c>
    </row>
    <row r="268" spans="1:8" x14ac:dyDescent="0.3">
      <c r="A268">
        <v>4</v>
      </c>
      <c r="B268">
        <v>2</v>
      </c>
      <c r="C268">
        <v>1</v>
      </c>
      <c r="D268">
        <v>1</v>
      </c>
      <c r="E268" t="s">
        <v>14</v>
      </c>
      <c r="F268">
        <v>0</v>
      </c>
      <c r="G268">
        <v>2</v>
      </c>
      <c r="H268">
        <v>2</v>
      </c>
    </row>
    <row r="269" spans="1:8" x14ac:dyDescent="0.3">
      <c r="A269">
        <v>4</v>
      </c>
      <c r="B269">
        <v>2</v>
      </c>
      <c r="C269">
        <v>1</v>
      </c>
      <c r="D269">
        <v>1</v>
      </c>
      <c r="E269" t="s">
        <v>14</v>
      </c>
      <c r="F269">
        <v>2</v>
      </c>
      <c r="G269">
        <v>1</v>
      </c>
      <c r="H269">
        <v>1</v>
      </c>
    </row>
    <row r="270" spans="1:8" x14ac:dyDescent="0.3">
      <c r="A270">
        <v>4</v>
      </c>
      <c r="B270">
        <v>1</v>
      </c>
      <c r="C270">
        <v>2</v>
      </c>
      <c r="D270">
        <v>1</v>
      </c>
      <c r="E270" t="s">
        <v>14</v>
      </c>
      <c r="F270">
        <v>1</v>
      </c>
      <c r="G270">
        <v>2</v>
      </c>
      <c r="H270">
        <v>1</v>
      </c>
    </row>
    <row r="271" spans="1:8" x14ac:dyDescent="0.3">
      <c r="A271">
        <v>5</v>
      </c>
      <c r="B271">
        <v>1</v>
      </c>
      <c r="C271">
        <v>2</v>
      </c>
      <c r="D271">
        <v>2</v>
      </c>
      <c r="E271" t="s">
        <v>14</v>
      </c>
      <c r="F271">
        <v>1</v>
      </c>
      <c r="G271">
        <v>2</v>
      </c>
      <c r="H271">
        <v>2</v>
      </c>
    </row>
    <row r="272" spans="1:8" x14ac:dyDescent="0.3">
      <c r="A272">
        <v>5</v>
      </c>
      <c r="B272">
        <v>1</v>
      </c>
      <c r="C272">
        <v>2</v>
      </c>
      <c r="D272">
        <v>2</v>
      </c>
      <c r="E272" t="s">
        <v>14</v>
      </c>
      <c r="F272">
        <v>1</v>
      </c>
      <c r="G272">
        <v>2</v>
      </c>
      <c r="H272">
        <v>2</v>
      </c>
    </row>
    <row r="273" spans="1:8" x14ac:dyDescent="0.3">
      <c r="A273">
        <v>5</v>
      </c>
      <c r="B273">
        <v>1</v>
      </c>
      <c r="C273">
        <v>2</v>
      </c>
      <c r="D273">
        <v>2</v>
      </c>
      <c r="E273" t="s">
        <v>14</v>
      </c>
      <c r="F273">
        <v>2</v>
      </c>
      <c r="G273">
        <v>3</v>
      </c>
      <c r="H273">
        <v>0</v>
      </c>
    </row>
    <row r="274" spans="1:8" x14ac:dyDescent="0.3">
      <c r="A274">
        <v>5</v>
      </c>
      <c r="B274">
        <v>2</v>
      </c>
      <c r="C274">
        <v>1</v>
      </c>
      <c r="D274">
        <v>2</v>
      </c>
      <c r="E274" t="s">
        <v>14</v>
      </c>
      <c r="F274">
        <v>2</v>
      </c>
      <c r="G274">
        <v>1</v>
      </c>
      <c r="H274">
        <v>2</v>
      </c>
    </row>
    <row r="275" spans="1:8" x14ac:dyDescent="0.3">
      <c r="A275">
        <v>5</v>
      </c>
      <c r="B275">
        <v>2</v>
      </c>
      <c r="C275">
        <v>1</v>
      </c>
      <c r="D275">
        <v>2</v>
      </c>
      <c r="E275" t="s">
        <v>14</v>
      </c>
      <c r="F275">
        <v>2</v>
      </c>
      <c r="G275">
        <v>1</v>
      </c>
      <c r="H275">
        <v>2</v>
      </c>
    </row>
    <row r="276" spans="1:8" x14ac:dyDescent="0.3">
      <c r="A276">
        <v>6</v>
      </c>
      <c r="B276">
        <v>1</v>
      </c>
      <c r="C276">
        <v>2</v>
      </c>
      <c r="D276">
        <v>3</v>
      </c>
      <c r="E276" t="s">
        <v>14</v>
      </c>
      <c r="F276">
        <v>1</v>
      </c>
      <c r="G276">
        <v>2</v>
      </c>
      <c r="H276">
        <v>3</v>
      </c>
    </row>
    <row r="277" spans="1:8" x14ac:dyDescent="0.3">
      <c r="A277">
        <v>6</v>
      </c>
      <c r="B277">
        <v>2</v>
      </c>
      <c r="C277">
        <v>2</v>
      </c>
      <c r="D277">
        <v>2</v>
      </c>
      <c r="E277" t="s">
        <v>14</v>
      </c>
      <c r="F277">
        <v>2</v>
      </c>
      <c r="G277">
        <v>2</v>
      </c>
      <c r="H277">
        <v>2</v>
      </c>
    </row>
    <row r="278" spans="1:8" x14ac:dyDescent="0.3">
      <c r="A278">
        <v>6</v>
      </c>
      <c r="B278">
        <v>2</v>
      </c>
      <c r="C278">
        <v>3</v>
      </c>
      <c r="D278">
        <v>1</v>
      </c>
      <c r="E278" t="s">
        <v>14</v>
      </c>
      <c r="F278">
        <v>2</v>
      </c>
      <c r="G278">
        <v>3</v>
      </c>
      <c r="H278">
        <v>1</v>
      </c>
    </row>
    <row r="279" spans="1:8" x14ac:dyDescent="0.3">
      <c r="A279">
        <v>7</v>
      </c>
      <c r="B279">
        <v>2</v>
      </c>
      <c r="C279">
        <v>2</v>
      </c>
      <c r="D279">
        <v>3</v>
      </c>
      <c r="E279" t="s">
        <v>14</v>
      </c>
      <c r="F279">
        <v>2</v>
      </c>
      <c r="G279">
        <v>2</v>
      </c>
      <c r="H279">
        <v>3</v>
      </c>
    </row>
    <row r="280" spans="1:8" x14ac:dyDescent="0.3">
      <c r="A280">
        <v>7</v>
      </c>
      <c r="B280">
        <v>2</v>
      </c>
      <c r="C280">
        <v>2</v>
      </c>
      <c r="D280">
        <v>3</v>
      </c>
      <c r="E280" t="s">
        <v>14</v>
      </c>
      <c r="F280">
        <v>2</v>
      </c>
      <c r="G280">
        <v>2</v>
      </c>
      <c r="H280">
        <v>3</v>
      </c>
    </row>
    <row r="281" spans="1:8" x14ac:dyDescent="0.3">
      <c r="A281">
        <v>2</v>
      </c>
      <c r="B281">
        <v>1</v>
      </c>
      <c r="C281">
        <v>1</v>
      </c>
      <c r="D281">
        <v>0</v>
      </c>
      <c r="E281" t="s">
        <v>14</v>
      </c>
      <c r="F281">
        <v>1</v>
      </c>
      <c r="G281">
        <v>1</v>
      </c>
      <c r="H281">
        <v>0</v>
      </c>
    </row>
    <row r="282" spans="1:8" x14ac:dyDescent="0.3">
      <c r="A282">
        <v>2</v>
      </c>
      <c r="B282">
        <v>1</v>
      </c>
      <c r="C282">
        <v>1</v>
      </c>
      <c r="D282">
        <v>0</v>
      </c>
      <c r="E282" t="s">
        <v>14</v>
      </c>
      <c r="F282">
        <v>1</v>
      </c>
      <c r="G282">
        <v>1</v>
      </c>
      <c r="H282">
        <v>0</v>
      </c>
    </row>
    <row r="283" spans="1:8" x14ac:dyDescent="0.3">
      <c r="A283">
        <v>2</v>
      </c>
      <c r="B283">
        <v>1</v>
      </c>
      <c r="C283">
        <v>1</v>
      </c>
      <c r="D283">
        <v>0</v>
      </c>
      <c r="E283" t="s">
        <v>14</v>
      </c>
      <c r="F283">
        <v>0</v>
      </c>
      <c r="G283">
        <v>0</v>
      </c>
      <c r="H283">
        <v>2</v>
      </c>
    </row>
    <row r="284" spans="1:8" x14ac:dyDescent="0.3">
      <c r="A284">
        <v>2</v>
      </c>
      <c r="B284">
        <v>0</v>
      </c>
      <c r="C284">
        <v>1</v>
      </c>
      <c r="D284">
        <v>1</v>
      </c>
      <c r="E284" t="s">
        <v>14</v>
      </c>
      <c r="F284">
        <v>0</v>
      </c>
      <c r="G284">
        <v>1</v>
      </c>
      <c r="H284">
        <v>1</v>
      </c>
    </row>
    <row r="285" spans="1:8" x14ac:dyDescent="0.3">
      <c r="A285">
        <v>2</v>
      </c>
      <c r="B285">
        <v>1</v>
      </c>
      <c r="C285">
        <v>1</v>
      </c>
      <c r="D285">
        <v>0</v>
      </c>
      <c r="E285" t="s">
        <v>14</v>
      </c>
      <c r="F285">
        <v>0</v>
      </c>
      <c r="G285">
        <v>2</v>
      </c>
      <c r="H285">
        <v>0</v>
      </c>
    </row>
    <row r="286" spans="1:8" x14ac:dyDescent="0.3">
      <c r="A286">
        <v>3</v>
      </c>
      <c r="B286">
        <v>1</v>
      </c>
      <c r="C286">
        <v>1</v>
      </c>
      <c r="D286">
        <v>1</v>
      </c>
      <c r="E286" t="s">
        <v>14</v>
      </c>
      <c r="F286">
        <v>1</v>
      </c>
      <c r="G286">
        <v>1</v>
      </c>
      <c r="H286">
        <v>1</v>
      </c>
    </row>
    <row r="287" spans="1:8" x14ac:dyDescent="0.3">
      <c r="A287">
        <v>3</v>
      </c>
      <c r="B287">
        <v>1</v>
      </c>
      <c r="C287">
        <v>1</v>
      </c>
      <c r="D287">
        <v>1</v>
      </c>
      <c r="E287" t="s">
        <v>14</v>
      </c>
      <c r="F287">
        <v>0</v>
      </c>
      <c r="G287">
        <v>2</v>
      </c>
      <c r="H287">
        <v>1</v>
      </c>
    </row>
    <row r="288" spans="1:8" x14ac:dyDescent="0.3">
      <c r="A288">
        <v>3</v>
      </c>
      <c r="B288">
        <v>1</v>
      </c>
      <c r="C288">
        <v>0</v>
      </c>
      <c r="D288">
        <v>2</v>
      </c>
      <c r="E288" t="s">
        <v>14</v>
      </c>
      <c r="F288">
        <v>1</v>
      </c>
      <c r="G288">
        <v>0</v>
      </c>
      <c r="H288">
        <v>2</v>
      </c>
    </row>
    <row r="289" spans="1:8" x14ac:dyDescent="0.3">
      <c r="A289">
        <v>3</v>
      </c>
      <c r="B289">
        <v>2</v>
      </c>
      <c r="C289">
        <v>1</v>
      </c>
      <c r="D289">
        <v>0</v>
      </c>
      <c r="E289" t="s">
        <v>14</v>
      </c>
      <c r="F289">
        <v>2</v>
      </c>
      <c r="G289">
        <v>1</v>
      </c>
      <c r="H289">
        <v>0</v>
      </c>
    </row>
    <row r="290" spans="1:8" x14ac:dyDescent="0.3">
      <c r="A290">
        <v>3</v>
      </c>
      <c r="B290">
        <v>1</v>
      </c>
      <c r="C290">
        <v>1</v>
      </c>
      <c r="D290">
        <v>1</v>
      </c>
      <c r="E290" t="s">
        <v>14</v>
      </c>
      <c r="F290">
        <v>1</v>
      </c>
      <c r="G290">
        <v>1</v>
      </c>
      <c r="H290">
        <v>1</v>
      </c>
    </row>
    <row r="291" spans="1:8" x14ac:dyDescent="0.3">
      <c r="A291">
        <v>3</v>
      </c>
      <c r="B291">
        <v>1</v>
      </c>
      <c r="C291">
        <v>1</v>
      </c>
      <c r="D291">
        <v>1</v>
      </c>
      <c r="E291" t="s">
        <v>14</v>
      </c>
      <c r="F291">
        <v>0</v>
      </c>
      <c r="G291">
        <v>2</v>
      </c>
      <c r="H291">
        <v>1</v>
      </c>
    </row>
    <row r="292" spans="1:8" x14ac:dyDescent="0.3">
      <c r="A292">
        <v>3</v>
      </c>
      <c r="B292">
        <v>1</v>
      </c>
      <c r="C292">
        <v>1</v>
      </c>
      <c r="D292">
        <v>1</v>
      </c>
      <c r="E292" t="s">
        <v>14</v>
      </c>
      <c r="F292">
        <v>0</v>
      </c>
      <c r="G292">
        <v>2</v>
      </c>
      <c r="H292">
        <v>1</v>
      </c>
    </row>
    <row r="293" spans="1:8" x14ac:dyDescent="0.3">
      <c r="A293">
        <v>3</v>
      </c>
      <c r="B293">
        <v>1</v>
      </c>
      <c r="C293">
        <v>1</v>
      </c>
      <c r="D293">
        <v>1</v>
      </c>
      <c r="E293" t="s">
        <v>14</v>
      </c>
      <c r="F293">
        <v>1</v>
      </c>
      <c r="G293">
        <v>1</v>
      </c>
      <c r="H293">
        <v>1</v>
      </c>
    </row>
    <row r="294" spans="1:8" x14ac:dyDescent="0.3">
      <c r="A294">
        <v>3</v>
      </c>
      <c r="B294">
        <v>0</v>
      </c>
      <c r="C294">
        <v>2</v>
      </c>
      <c r="D294">
        <v>1</v>
      </c>
      <c r="E294" t="s">
        <v>14</v>
      </c>
      <c r="F294">
        <v>2</v>
      </c>
      <c r="G294">
        <v>1</v>
      </c>
      <c r="H294">
        <v>0</v>
      </c>
    </row>
    <row r="295" spans="1:8" x14ac:dyDescent="0.3">
      <c r="A295">
        <v>3</v>
      </c>
      <c r="B295">
        <v>1</v>
      </c>
      <c r="C295">
        <v>1</v>
      </c>
      <c r="D295">
        <v>1</v>
      </c>
      <c r="E295" t="s">
        <v>14</v>
      </c>
      <c r="F295">
        <v>0</v>
      </c>
      <c r="G295">
        <v>2</v>
      </c>
      <c r="H295">
        <v>1</v>
      </c>
    </row>
    <row r="296" spans="1:8" x14ac:dyDescent="0.3">
      <c r="A296">
        <v>3</v>
      </c>
      <c r="B296">
        <v>1</v>
      </c>
      <c r="C296">
        <v>1</v>
      </c>
      <c r="D296">
        <v>1</v>
      </c>
      <c r="E296" t="s">
        <v>14</v>
      </c>
      <c r="F296">
        <v>1</v>
      </c>
      <c r="G296">
        <v>1</v>
      </c>
      <c r="H296">
        <v>1</v>
      </c>
    </row>
    <row r="297" spans="1:8" x14ac:dyDescent="0.3">
      <c r="A297">
        <v>3</v>
      </c>
      <c r="B297">
        <v>2</v>
      </c>
      <c r="C297">
        <v>1</v>
      </c>
      <c r="D297">
        <v>0</v>
      </c>
      <c r="E297" t="s">
        <v>14</v>
      </c>
      <c r="F297">
        <v>2</v>
      </c>
      <c r="G297">
        <v>1</v>
      </c>
      <c r="H297">
        <v>0</v>
      </c>
    </row>
    <row r="298" spans="1:8" x14ac:dyDescent="0.3">
      <c r="A298">
        <v>3</v>
      </c>
      <c r="B298">
        <v>1</v>
      </c>
      <c r="C298">
        <v>1</v>
      </c>
      <c r="D298">
        <v>1</v>
      </c>
      <c r="E298" t="s">
        <v>14</v>
      </c>
      <c r="F298">
        <v>0</v>
      </c>
      <c r="G298">
        <v>2</v>
      </c>
      <c r="H298">
        <v>1</v>
      </c>
    </row>
    <row r="299" spans="1:8" x14ac:dyDescent="0.3">
      <c r="A299">
        <v>3</v>
      </c>
      <c r="B299">
        <v>1</v>
      </c>
      <c r="C299">
        <v>1</v>
      </c>
      <c r="D299">
        <v>1</v>
      </c>
      <c r="E299" t="s">
        <v>14</v>
      </c>
      <c r="F299">
        <v>2</v>
      </c>
      <c r="G299">
        <v>1</v>
      </c>
      <c r="H299">
        <v>0</v>
      </c>
    </row>
    <row r="300" spans="1:8" x14ac:dyDescent="0.3">
      <c r="A300">
        <v>3</v>
      </c>
      <c r="B300">
        <v>1</v>
      </c>
      <c r="C300">
        <v>1</v>
      </c>
      <c r="D300">
        <v>1</v>
      </c>
      <c r="E300" t="s">
        <v>14</v>
      </c>
      <c r="F300">
        <v>0</v>
      </c>
      <c r="G300">
        <v>2</v>
      </c>
      <c r="H300">
        <v>1</v>
      </c>
    </row>
    <row r="301" spans="1:8" x14ac:dyDescent="0.3">
      <c r="A301">
        <v>3</v>
      </c>
      <c r="B301">
        <v>0</v>
      </c>
      <c r="C301">
        <v>2</v>
      </c>
      <c r="D301">
        <v>1</v>
      </c>
      <c r="E301" t="s">
        <v>14</v>
      </c>
      <c r="F301">
        <v>0</v>
      </c>
      <c r="G301">
        <v>2</v>
      </c>
      <c r="H301">
        <v>1</v>
      </c>
    </row>
    <row r="302" spans="1:8" x14ac:dyDescent="0.3">
      <c r="A302">
        <v>3</v>
      </c>
      <c r="B302">
        <v>1</v>
      </c>
      <c r="C302">
        <v>1</v>
      </c>
      <c r="D302">
        <v>1</v>
      </c>
      <c r="E302" t="s">
        <v>14</v>
      </c>
      <c r="F302">
        <v>2</v>
      </c>
      <c r="G302">
        <v>1</v>
      </c>
      <c r="H302">
        <v>0</v>
      </c>
    </row>
    <row r="303" spans="1:8" x14ac:dyDescent="0.3">
      <c r="A303">
        <v>3</v>
      </c>
      <c r="B303">
        <v>1</v>
      </c>
      <c r="C303">
        <v>1</v>
      </c>
      <c r="D303">
        <v>1</v>
      </c>
      <c r="E303" t="s">
        <v>14</v>
      </c>
      <c r="F303">
        <v>0</v>
      </c>
      <c r="G303">
        <v>2</v>
      </c>
      <c r="H303">
        <v>1</v>
      </c>
    </row>
    <row r="304" spans="1:8" x14ac:dyDescent="0.3">
      <c r="A304">
        <v>3</v>
      </c>
      <c r="B304">
        <v>0</v>
      </c>
      <c r="C304">
        <v>2</v>
      </c>
      <c r="D304">
        <v>1</v>
      </c>
      <c r="E304" t="s">
        <v>14</v>
      </c>
      <c r="F304">
        <v>1</v>
      </c>
      <c r="G304">
        <v>0</v>
      </c>
      <c r="H304">
        <v>2</v>
      </c>
    </row>
    <row r="305" spans="1:8" x14ac:dyDescent="0.3">
      <c r="A305">
        <v>3</v>
      </c>
      <c r="B305">
        <v>1</v>
      </c>
      <c r="C305">
        <v>1</v>
      </c>
      <c r="D305">
        <v>1</v>
      </c>
      <c r="E305" t="s">
        <v>14</v>
      </c>
      <c r="F305">
        <v>2</v>
      </c>
      <c r="G305">
        <v>1</v>
      </c>
      <c r="H305">
        <v>0</v>
      </c>
    </row>
    <row r="306" spans="1:8" x14ac:dyDescent="0.3">
      <c r="A306">
        <v>3</v>
      </c>
      <c r="B306">
        <v>0</v>
      </c>
      <c r="C306">
        <v>2</v>
      </c>
      <c r="D306">
        <v>1</v>
      </c>
      <c r="E306" t="s">
        <v>14</v>
      </c>
      <c r="F306">
        <v>2</v>
      </c>
      <c r="G306">
        <v>1</v>
      </c>
      <c r="H306">
        <v>0</v>
      </c>
    </row>
    <row r="307" spans="1:8" x14ac:dyDescent="0.3">
      <c r="A307">
        <v>3</v>
      </c>
      <c r="B307">
        <v>1</v>
      </c>
      <c r="C307">
        <v>1</v>
      </c>
      <c r="D307">
        <v>1</v>
      </c>
      <c r="E307" t="s">
        <v>14</v>
      </c>
      <c r="F307">
        <v>1</v>
      </c>
      <c r="G307">
        <v>1</v>
      </c>
      <c r="H307">
        <v>1</v>
      </c>
    </row>
    <row r="308" spans="1:8" x14ac:dyDescent="0.3">
      <c r="A308">
        <v>3</v>
      </c>
      <c r="B308">
        <v>1</v>
      </c>
      <c r="C308">
        <v>1</v>
      </c>
      <c r="D308">
        <v>1</v>
      </c>
      <c r="E308" t="s">
        <v>14</v>
      </c>
      <c r="F308">
        <v>1</v>
      </c>
      <c r="G308">
        <v>1</v>
      </c>
      <c r="H308">
        <v>1</v>
      </c>
    </row>
    <row r="309" spans="1:8" x14ac:dyDescent="0.3">
      <c r="A309">
        <v>3</v>
      </c>
      <c r="B309">
        <v>1</v>
      </c>
      <c r="C309">
        <v>1</v>
      </c>
      <c r="D309">
        <v>1</v>
      </c>
      <c r="E309" t="s">
        <v>14</v>
      </c>
      <c r="F309">
        <v>1</v>
      </c>
      <c r="G309">
        <v>1</v>
      </c>
      <c r="H309">
        <v>1</v>
      </c>
    </row>
    <row r="310" spans="1:8" x14ac:dyDescent="0.3">
      <c r="A310">
        <v>3</v>
      </c>
      <c r="B310">
        <v>1</v>
      </c>
      <c r="C310">
        <v>1</v>
      </c>
      <c r="D310">
        <v>1</v>
      </c>
      <c r="E310" t="s">
        <v>14</v>
      </c>
      <c r="F310">
        <v>2</v>
      </c>
      <c r="G310">
        <v>1</v>
      </c>
      <c r="H310">
        <v>0</v>
      </c>
    </row>
    <row r="311" spans="1:8" x14ac:dyDescent="0.3">
      <c r="A311">
        <v>3</v>
      </c>
      <c r="B311">
        <v>1</v>
      </c>
      <c r="C311">
        <v>1</v>
      </c>
      <c r="D311">
        <v>1</v>
      </c>
      <c r="E311" t="s">
        <v>14</v>
      </c>
      <c r="F311">
        <v>1</v>
      </c>
      <c r="G311">
        <v>0</v>
      </c>
      <c r="H311">
        <v>2</v>
      </c>
    </row>
    <row r="312" spans="1:8" x14ac:dyDescent="0.3">
      <c r="A312">
        <v>3</v>
      </c>
      <c r="B312">
        <v>1</v>
      </c>
      <c r="C312">
        <v>1</v>
      </c>
      <c r="D312">
        <v>1</v>
      </c>
      <c r="E312" t="s">
        <v>14</v>
      </c>
      <c r="F312">
        <v>0</v>
      </c>
      <c r="G312">
        <v>2</v>
      </c>
      <c r="H312">
        <v>1</v>
      </c>
    </row>
    <row r="313" spans="1:8" x14ac:dyDescent="0.3">
      <c r="A313">
        <v>3</v>
      </c>
      <c r="B313">
        <v>1</v>
      </c>
      <c r="C313">
        <v>1</v>
      </c>
      <c r="D313">
        <v>1</v>
      </c>
      <c r="E313" t="s">
        <v>14</v>
      </c>
      <c r="F313">
        <v>0</v>
      </c>
      <c r="G313">
        <v>2</v>
      </c>
      <c r="H313">
        <v>1</v>
      </c>
    </row>
    <row r="314" spans="1:8" x14ac:dyDescent="0.3">
      <c r="A314">
        <v>3</v>
      </c>
      <c r="B314">
        <v>1</v>
      </c>
      <c r="C314">
        <v>1</v>
      </c>
      <c r="D314">
        <v>1</v>
      </c>
      <c r="E314" t="s">
        <v>14</v>
      </c>
      <c r="F314">
        <v>0</v>
      </c>
      <c r="G314">
        <v>2</v>
      </c>
      <c r="H314">
        <v>1</v>
      </c>
    </row>
    <row r="315" spans="1:8" x14ac:dyDescent="0.3">
      <c r="A315">
        <v>3</v>
      </c>
      <c r="B315">
        <v>2</v>
      </c>
      <c r="C315">
        <v>1</v>
      </c>
      <c r="D315">
        <v>0</v>
      </c>
      <c r="E315" t="s">
        <v>14</v>
      </c>
      <c r="F315">
        <v>2</v>
      </c>
      <c r="G315">
        <v>1</v>
      </c>
      <c r="H315">
        <v>0</v>
      </c>
    </row>
    <row r="316" spans="1:8" x14ac:dyDescent="0.3">
      <c r="A316">
        <v>3</v>
      </c>
      <c r="B316">
        <v>1</v>
      </c>
      <c r="C316">
        <v>1</v>
      </c>
      <c r="D316">
        <v>1</v>
      </c>
      <c r="E316" t="s">
        <v>14</v>
      </c>
      <c r="F316">
        <v>1</v>
      </c>
      <c r="G316">
        <v>1</v>
      </c>
      <c r="H316">
        <v>1</v>
      </c>
    </row>
    <row r="317" spans="1:8" x14ac:dyDescent="0.3">
      <c r="A317">
        <v>3</v>
      </c>
      <c r="B317">
        <v>1</v>
      </c>
      <c r="C317">
        <v>1</v>
      </c>
      <c r="D317">
        <v>1</v>
      </c>
      <c r="E317" t="s">
        <v>14</v>
      </c>
      <c r="F317">
        <v>2</v>
      </c>
      <c r="G317">
        <v>1</v>
      </c>
      <c r="H317">
        <v>0</v>
      </c>
    </row>
    <row r="318" spans="1:8" x14ac:dyDescent="0.3">
      <c r="A318">
        <v>3</v>
      </c>
      <c r="B318">
        <v>1</v>
      </c>
      <c r="C318">
        <v>1</v>
      </c>
      <c r="D318">
        <v>1</v>
      </c>
      <c r="E318" t="s">
        <v>14</v>
      </c>
      <c r="F318">
        <v>2</v>
      </c>
      <c r="G318">
        <v>1</v>
      </c>
      <c r="H318">
        <v>0</v>
      </c>
    </row>
    <row r="319" spans="1:8" x14ac:dyDescent="0.3">
      <c r="A319">
        <v>3</v>
      </c>
      <c r="B319">
        <v>1</v>
      </c>
      <c r="C319">
        <v>1</v>
      </c>
      <c r="D319">
        <v>1</v>
      </c>
      <c r="E319" t="s">
        <v>14</v>
      </c>
      <c r="F319">
        <v>1</v>
      </c>
      <c r="G319">
        <v>1</v>
      </c>
      <c r="H319">
        <v>1</v>
      </c>
    </row>
    <row r="320" spans="1:8" x14ac:dyDescent="0.3">
      <c r="A320">
        <v>3</v>
      </c>
      <c r="B320">
        <v>1</v>
      </c>
      <c r="C320">
        <v>1</v>
      </c>
      <c r="D320">
        <v>1</v>
      </c>
      <c r="E320" t="s">
        <v>14</v>
      </c>
      <c r="F320">
        <v>1</v>
      </c>
      <c r="G320">
        <v>1</v>
      </c>
      <c r="H320">
        <v>1</v>
      </c>
    </row>
    <row r="321" spans="1:8" x14ac:dyDescent="0.3">
      <c r="A321">
        <v>3</v>
      </c>
      <c r="B321">
        <v>1</v>
      </c>
      <c r="C321">
        <v>0</v>
      </c>
      <c r="D321">
        <v>2</v>
      </c>
      <c r="E321" t="s">
        <v>14</v>
      </c>
      <c r="F321">
        <v>0</v>
      </c>
      <c r="G321">
        <v>2</v>
      </c>
      <c r="H321">
        <v>1</v>
      </c>
    </row>
    <row r="322" spans="1:8" x14ac:dyDescent="0.3">
      <c r="A322">
        <v>3</v>
      </c>
      <c r="B322">
        <v>1</v>
      </c>
      <c r="C322">
        <v>1</v>
      </c>
      <c r="D322">
        <v>1</v>
      </c>
      <c r="E322" t="s">
        <v>14</v>
      </c>
      <c r="F322">
        <v>1</v>
      </c>
      <c r="G322">
        <v>1</v>
      </c>
      <c r="H322">
        <v>1</v>
      </c>
    </row>
    <row r="323" spans="1:8" x14ac:dyDescent="0.3">
      <c r="A323">
        <v>3</v>
      </c>
      <c r="B323">
        <v>1</v>
      </c>
      <c r="C323">
        <v>0</v>
      </c>
      <c r="D323">
        <v>2</v>
      </c>
      <c r="E323" t="s">
        <v>14</v>
      </c>
      <c r="F323">
        <v>1</v>
      </c>
      <c r="G323">
        <v>0</v>
      </c>
      <c r="H323">
        <v>2</v>
      </c>
    </row>
    <row r="324" spans="1:8" x14ac:dyDescent="0.3">
      <c r="A324">
        <v>3</v>
      </c>
      <c r="B324">
        <v>0</v>
      </c>
      <c r="C324">
        <v>2</v>
      </c>
      <c r="D324">
        <v>1</v>
      </c>
      <c r="E324" t="s">
        <v>14</v>
      </c>
      <c r="F324">
        <v>2</v>
      </c>
      <c r="G324">
        <v>1</v>
      </c>
      <c r="H324">
        <v>0</v>
      </c>
    </row>
    <row r="325" spans="1:8" x14ac:dyDescent="0.3">
      <c r="A325">
        <v>3</v>
      </c>
      <c r="B325">
        <v>1</v>
      </c>
      <c r="C325">
        <v>1</v>
      </c>
      <c r="D325">
        <v>1</v>
      </c>
      <c r="E325" t="s">
        <v>14</v>
      </c>
      <c r="F325">
        <v>1</v>
      </c>
      <c r="G325">
        <v>1</v>
      </c>
      <c r="H325">
        <v>1</v>
      </c>
    </row>
    <row r="326" spans="1:8" x14ac:dyDescent="0.3">
      <c r="A326">
        <v>3</v>
      </c>
      <c r="B326">
        <v>0</v>
      </c>
      <c r="C326">
        <v>2</v>
      </c>
      <c r="D326">
        <v>1</v>
      </c>
      <c r="E326" t="s">
        <v>14</v>
      </c>
      <c r="F326">
        <v>0</v>
      </c>
      <c r="G326">
        <v>2</v>
      </c>
      <c r="H326">
        <v>1</v>
      </c>
    </row>
    <row r="327" spans="1:8" x14ac:dyDescent="0.3">
      <c r="A327">
        <v>3</v>
      </c>
      <c r="B327">
        <v>2</v>
      </c>
      <c r="C327">
        <v>1</v>
      </c>
      <c r="D327">
        <v>0</v>
      </c>
      <c r="E327" t="s">
        <v>14</v>
      </c>
      <c r="F327">
        <v>2</v>
      </c>
      <c r="G327">
        <v>1</v>
      </c>
      <c r="H327">
        <v>0</v>
      </c>
    </row>
    <row r="328" spans="1:8" x14ac:dyDescent="0.3">
      <c r="A328">
        <v>3</v>
      </c>
      <c r="B328">
        <v>1</v>
      </c>
      <c r="C328">
        <v>1</v>
      </c>
      <c r="D328">
        <v>1</v>
      </c>
      <c r="E328" t="s">
        <v>14</v>
      </c>
      <c r="F328">
        <v>0</v>
      </c>
      <c r="G328">
        <v>2</v>
      </c>
      <c r="H328">
        <v>1</v>
      </c>
    </row>
    <row r="329" spans="1:8" x14ac:dyDescent="0.3">
      <c r="A329">
        <v>3</v>
      </c>
      <c r="B329">
        <v>1</v>
      </c>
      <c r="C329">
        <v>1</v>
      </c>
      <c r="D329">
        <v>1</v>
      </c>
      <c r="E329" t="s">
        <v>14</v>
      </c>
      <c r="F329">
        <v>1</v>
      </c>
      <c r="G329">
        <v>1</v>
      </c>
      <c r="H329">
        <v>1</v>
      </c>
    </row>
    <row r="330" spans="1:8" x14ac:dyDescent="0.3">
      <c r="A330">
        <v>3</v>
      </c>
      <c r="B330">
        <v>2</v>
      </c>
      <c r="C330">
        <v>1</v>
      </c>
      <c r="D330">
        <v>0</v>
      </c>
      <c r="E330" t="s">
        <v>14</v>
      </c>
      <c r="F330">
        <v>2</v>
      </c>
      <c r="G330">
        <v>1</v>
      </c>
      <c r="H330">
        <v>0</v>
      </c>
    </row>
    <row r="331" spans="1:8" x14ac:dyDescent="0.3">
      <c r="A331">
        <v>3</v>
      </c>
      <c r="B331">
        <v>1</v>
      </c>
      <c r="C331">
        <v>1</v>
      </c>
      <c r="D331">
        <v>1</v>
      </c>
      <c r="E331" t="s">
        <v>14</v>
      </c>
      <c r="F331">
        <v>1</v>
      </c>
      <c r="G331">
        <v>0</v>
      </c>
      <c r="H331">
        <v>2</v>
      </c>
    </row>
    <row r="332" spans="1:8" x14ac:dyDescent="0.3">
      <c r="A332">
        <v>4</v>
      </c>
      <c r="B332">
        <v>1</v>
      </c>
      <c r="C332">
        <v>2</v>
      </c>
      <c r="D332">
        <v>1</v>
      </c>
      <c r="E332" t="s">
        <v>14</v>
      </c>
      <c r="F332">
        <v>1</v>
      </c>
      <c r="G332">
        <v>2</v>
      </c>
      <c r="H332">
        <v>1</v>
      </c>
    </row>
    <row r="333" spans="1:8" x14ac:dyDescent="0.3">
      <c r="A333">
        <v>4</v>
      </c>
      <c r="B333">
        <v>2</v>
      </c>
      <c r="C333">
        <v>1</v>
      </c>
      <c r="D333">
        <v>1</v>
      </c>
      <c r="E333" t="s">
        <v>14</v>
      </c>
      <c r="F333">
        <v>2</v>
      </c>
      <c r="G333">
        <v>1</v>
      </c>
      <c r="H333">
        <v>1</v>
      </c>
    </row>
    <row r="334" spans="1:8" x14ac:dyDescent="0.3">
      <c r="A334">
        <v>4</v>
      </c>
      <c r="B334">
        <v>1</v>
      </c>
      <c r="C334">
        <v>2</v>
      </c>
      <c r="D334">
        <v>1</v>
      </c>
      <c r="E334" t="s">
        <v>14</v>
      </c>
      <c r="F334">
        <v>1</v>
      </c>
      <c r="G334">
        <v>2</v>
      </c>
      <c r="H334">
        <v>1</v>
      </c>
    </row>
    <row r="335" spans="1:8" x14ac:dyDescent="0.3">
      <c r="A335">
        <v>4</v>
      </c>
      <c r="B335">
        <v>1</v>
      </c>
      <c r="C335">
        <v>1</v>
      </c>
      <c r="D335">
        <v>2</v>
      </c>
      <c r="E335" t="s">
        <v>14</v>
      </c>
      <c r="F335">
        <v>1</v>
      </c>
      <c r="G335">
        <v>1</v>
      </c>
      <c r="H335">
        <v>2</v>
      </c>
    </row>
    <row r="336" spans="1:8" x14ac:dyDescent="0.3">
      <c r="A336">
        <v>4</v>
      </c>
      <c r="B336">
        <v>1</v>
      </c>
      <c r="C336">
        <v>2</v>
      </c>
      <c r="D336">
        <v>1</v>
      </c>
      <c r="E336" t="s">
        <v>14</v>
      </c>
      <c r="F336">
        <v>0</v>
      </c>
      <c r="G336">
        <v>2</v>
      </c>
      <c r="H336">
        <v>2</v>
      </c>
    </row>
    <row r="337" spans="1:8" x14ac:dyDescent="0.3">
      <c r="A337">
        <v>4</v>
      </c>
      <c r="B337">
        <v>2</v>
      </c>
      <c r="C337">
        <v>1</v>
      </c>
      <c r="D337">
        <v>1</v>
      </c>
      <c r="E337" t="s">
        <v>14</v>
      </c>
      <c r="F337">
        <v>2</v>
      </c>
      <c r="G337">
        <v>0</v>
      </c>
      <c r="H337">
        <v>2</v>
      </c>
    </row>
    <row r="338" spans="1:8" x14ac:dyDescent="0.3">
      <c r="A338">
        <v>4</v>
      </c>
      <c r="B338">
        <v>1</v>
      </c>
      <c r="C338">
        <v>1</v>
      </c>
      <c r="D338">
        <v>2</v>
      </c>
      <c r="E338" t="s">
        <v>14</v>
      </c>
      <c r="F338">
        <v>0</v>
      </c>
      <c r="G338">
        <v>2</v>
      </c>
      <c r="H338">
        <v>2</v>
      </c>
    </row>
    <row r="339" spans="1:8" x14ac:dyDescent="0.3">
      <c r="A339">
        <v>5</v>
      </c>
      <c r="B339">
        <v>2</v>
      </c>
      <c r="C339">
        <v>2</v>
      </c>
      <c r="D339">
        <v>1</v>
      </c>
      <c r="E339" t="s">
        <v>14</v>
      </c>
      <c r="F339">
        <v>0</v>
      </c>
      <c r="G339">
        <v>2</v>
      </c>
      <c r="H339">
        <v>3</v>
      </c>
    </row>
    <row r="340" spans="1:8" x14ac:dyDescent="0.3">
      <c r="A340">
        <v>5</v>
      </c>
      <c r="B340">
        <v>1</v>
      </c>
      <c r="C340">
        <v>2</v>
      </c>
      <c r="D340">
        <v>2</v>
      </c>
      <c r="E340" t="s">
        <v>14</v>
      </c>
      <c r="F340">
        <v>1</v>
      </c>
      <c r="G340">
        <v>2</v>
      </c>
      <c r="H340">
        <v>2</v>
      </c>
    </row>
    <row r="341" spans="1:8" x14ac:dyDescent="0.3">
      <c r="A341">
        <v>5</v>
      </c>
      <c r="B341">
        <v>2</v>
      </c>
      <c r="C341">
        <v>2</v>
      </c>
      <c r="D341">
        <v>1</v>
      </c>
      <c r="E341" t="s">
        <v>14</v>
      </c>
      <c r="F341">
        <v>2</v>
      </c>
      <c r="G341">
        <v>2</v>
      </c>
      <c r="H341">
        <v>1</v>
      </c>
    </row>
    <row r="342" spans="1:8" x14ac:dyDescent="0.3">
      <c r="A342">
        <v>5</v>
      </c>
      <c r="B342">
        <v>2</v>
      </c>
      <c r="C342">
        <v>1</v>
      </c>
      <c r="D342">
        <v>2</v>
      </c>
      <c r="E342" t="s">
        <v>14</v>
      </c>
      <c r="F342">
        <v>2</v>
      </c>
      <c r="G342">
        <v>3</v>
      </c>
      <c r="H342">
        <v>0</v>
      </c>
    </row>
    <row r="343" spans="1:8" x14ac:dyDescent="0.3">
      <c r="A343">
        <v>5</v>
      </c>
      <c r="B343">
        <v>1</v>
      </c>
      <c r="C343">
        <v>2</v>
      </c>
      <c r="D343">
        <v>2</v>
      </c>
      <c r="E343" t="s">
        <v>14</v>
      </c>
      <c r="F343">
        <v>2</v>
      </c>
      <c r="G343">
        <v>3</v>
      </c>
      <c r="H343">
        <v>0</v>
      </c>
    </row>
    <row r="344" spans="1:8" x14ac:dyDescent="0.3">
      <c r="A344">
        <v>5</v>
      </c>
      <c r="B344">
        <v>2</v>
      </c>
      <c r="C344">
        <v>1</v>
      </c>
      <c r="D344">
        <v>2</v>
      </c>
      <c r="E344" t="s">
        <v>14</v>
      </c>
      <c r="F344">
        <v>2</v>
      </c>
      <c r="G344">
        <v>1</v>
      </c>
      <c r="H344">
        <v>2</v>
      </c>
    </row>
    <row r="345" spans="1:8" x14ac:dyDescent="0.3">
      <c r="A345">
        <v>6</v>
      </c>
      <c r="B345">
        <v>3</v>
      </c>
      <c r="C345">
        <v>1</v>
      </c>
      <c r="D345">
        <v>2</v>
      </c>
      <c r="E345" t="s">
        <v>14</v>
      </c>
      <c r="F345">
        <v>3</v>
      </c>
      <c r="G345">
        <v>1</v>
      </c>
      <c r="H345">
        <v>2</v>
      </c>
    </row>
    <row r="346" spans="1:8" x14ac:dyDescent="0.3">
      <c r="A346">
        <v>6</v>
      </c>
      <c r="B346">
        <v>3</v>
      </c>
      <c r="C346">
        <v>1</v>
      </c>
      <c r="D346">
        <v>2</v>
      </c>
      <c r="E346" t="s">
        <v>14</v>
      </c>
      <c r="F346">
        <v>3</v>
      </c>
      <c r="G346">
        <v>1</v>
      </c>
      <c r="H346">
        <v>2</v>
      </c>
    </row>
    <row r="347" spans="1:8" x14ac:dyDescent="0.3">
      <c r="A347">
        <v>7</v>
      </c>
      <c r="B347">
        <v>2</v>
      </c>
      <c r="C347">
        <v>3</v>
      </c>
      <c r="D347">
        <v>2</v>
      </c>
      <c r="E347" t="s">
        <v>14</v>
      </c>
      <c r="F347">
        <v>2</v>
      </c>
      <c r="G347">
        <v>3</v>
      </c>
      <c r="H347">
        <v>2</v>
      </c>
    </row>
    <row r="348" spans="1:8" x14ac:dyDescent="0.3">
      <c r="A348">
        <v>7</v>
      </c>
      <c r="B348">
        <v>3</v>
      </c>
      <c r="C348">
        <v>2</v>
      </c>
      <c r="D348">
        <v>2</v>
      </c>
      <c r="E348" t="s">
        <v>14</v>
      </c>
      <c r="F348">
        <v>3</v>
      </c>
      <c r="G348">
        <v>2</v>
      </c>
      <c r="H348">
        <v>2</v>
      </c>
    </row>
    <row r="349" spans="1:8" x14ac:dyDescent="0.3">
      <c r="A349">
        <v>7</v>
      </c>
      <c r="B349">
        <v>2</v>
      </c>
      <c r="C349">
        <v>3</v>
      </c>
      <c r="D349">
        <v>2</v>
      </c>
      <c r="E349" t="s">
        <v>14</v>
      </c>
      <c r="F349">
        <v>2</v>
      </c>
      <c r="G349">
        <v>3</v>
      </c>
      <c r="H349">
        <v>2</v>
      </c>
    </row>
    <row r="350" spans="1:8" x14ac:dyDescent="0.3">
      <c r="A350">
        <v>8</v>
      </c>
      <c r="B350">
        <v>3</v>
      </c>
      <c r="C350">
        <v>2</v>
      </c>
      <c r="D350">
        <v>3</v>
      </c>
      <c r="E350" t="s">
        <v>14</v>
      </c>
      <c r="F350">
        <v>3</v>
      </c>
      <c r="G350">
        <v>2</v>
      </c>
      <c r="H350">
        <v>3</v>
      </c>
    </row>
    <row r="351" spans="1:8" x14ac:dyDescent="0.3">
      <c r="A351">
        <v>2</v>
      </c>
      <c r="B351">
        <v>1</v>
      </c>
      <c r="C351">
        <v>1</v>
      </c>
      <c r="D351">
        <v>0</v>
      </c>
      <c r="E351" t="s">
        <v>14</v>
      </c>
      <c r="F351">
        <v>0</v>
      </c>
      <c r="G351">
        <v>2</v>
      </c>
      <c r="H351">
        <v>0</v>
      </c>
    </row>
    <row r="352" spans="1:8" x14ac:dyDescent="0.3">
      <c r="A352">
        <v>2</v>
      </c>
      <c r="B352">
        <v>0</v>
      </c>
      <c r="C352">
        <v>1</v>
      </c>
      <c r="D352">
        <v>1</v>
      </c>
      <c r="E352" t="s">
        <v>14</v>
      </c>
      <c r="F352">
        <v>2</v>
      </c>
      <c r="G352">
        <v>0</v>
      </c>
      <c r="H352">
        <v>0</v>
      </c>
    </row>
    <row r="353" spans="1:8" x14ac:dyDescent="0.3">
      <c r="A353">
        <v>2</v>
      </c>
      <c r="B353">
        <v>0</v>
      </c>
      <c r="C353">
        <v>1</v>
      </c>
      <c r="D353">
        <v>1</v>
      </c>
      <c r="E353" t="s">
        <v>14</v>
      </c>
      <c r="F353">
        <v>0</v>
      </c>
      <c r="G353">
        <v>0</v>
      </c>
      <c r="H353">
        <v>2</v>
      </c>
    </row>
    <row r="354" spans="1:8" x14ac:dyDescent="0.3">
      <c r="A354">
        <v>3</v>
      </c>
      <c r="B354">
        <v>1</v>
      </c>
      <c r="C354">
        <v>1</v>
      </c>
      <c r="D354">
        <v>1</v>
      </c>
      <c r="E354" t="s">
        <v>14</v>
      </c>
      <c r="F354">
        <v>1</v>
      </c>
      <c r="G354">
        <v>1</v>
      </c>
      <c r="H354">
        <v>1</v>
      </c>
    </row>
    <row r="355" spans="1:8" x14ac:dyDescent="0.3">
      <c r="A355">
        <v>3</v>
      </c>
      <c r="B355">
        <v>1</v>
      </c>
      <c r="C355">
        <v>1</v>
      </c>
      <c r="D355">
        <v>1</v>
      </c>
      <c r="E355" t="s">
        <v>14</v>
      </c>
      <c r="F355">
        <v>0</v>
      </c>
      <c r="G355">
        <v>2</v>
      </c>
      <c r="H355">
        <v>1</v>
      </c>
    </row>
    <row r="356" spans="1:8" x14ac:dyDescent="0.3">
      <c r="A356">
        <v>3</v>
      </c>
      <c r="B356">
        <v>1</v>
      </c>
      <c r="C356">
        <v>0</v>
      </c>
      <c r="D356">
        <v>2</v>
      </c>
      <c r="E356" t="s">
        <v>14</v>
      </c>
      <c r="F356">
        <v>1</v>
      </c>
      <c r="G356">
        <v>0</v>
      </c>
      <c r="H356">
        <v>2</v>
      </c>
    </row>
    <row r="357" spans="1:8" x14ac:dyDescent="0.3">
      <c r="A357">
        <v>3</v>
      </c>
      <c r="B357">
        <v>1</v>
      </c>
      <c r="C357">
        <v>1</v>
      </c>
      <c r="D357">
        <v>1</v>
      </c>
      <c r="E357" t="s">
        <v>14</v>
      </c>
      <c r="F357">
        <v>1</v>
      </c>
      <c r="G357">
        <v>1</v>
      </c>
      <c r="H357">
        <v>1</v>
      </c>
    </row>
    <row r="358" spans="1:8" x14ac:dyDescent="0.3">
      <c r="A358">
        <v>3</v>
      </c>
      <c r="B358">
        <v>2</v>
      </c>
      <c r="C358">
        <v>1</v>
      </c>
      <c r="D358">
        <v>0</v>
      </c>
      <c r="E358" t="s">
        <v>14</v>
      </c>
      <c r="F358">
        <v>2</v>
      </c>
      <c r="G358">
        <v>1</v>
      </c>
      <c r="H358">
        <v>0</v>
      </c>
    </row>
    <row r="359" spans="1:8" x14ac:dyDescent="0.3">
      <c r="A359">
        <v>3</v>
      </c>
      <c r="B359">
        <v>1</v>
      </c>
      <c r="C359">
        <v>1</v>
      </c>
      <c r="D359">
        <v>1</v>
      </c>
      <c r="E359" t="s">
        <v>14</v>
      </c>
      <c r="F359">
        <v>1</v>
      </c>
      <c r="G359">
        <v>1</v>
      </c>
      <c r="H359">
        <v>1</v>
      </c>
    </row>
    <row r="360" spans="1:8" x14ac:dyDescent="0.3">
      <c r="A360">
        <v>3</v>
      </c>
      <c r="B360">
        <v>1</v>
      </c>
      <c r="C360">
        <v>1</v>
      </c>
      <c r="D360">
        <v>1</v>
      </c>
      <c r="E360" t="s">
        <v>14</v>
      </c>
      <c r="F360">
        <v>2</v>
      </c>
      <c r="G360">
        <v>1</v>
      </c>
      <c r="H360">
        <v>0</v>
      </c>
    </row>
    <row r="361" spans="1:8" x14ac:dyDescent="0.3">
      <c r="A361">
        <v>3</v>
      </c>
      <c r="B361">
        <v>1</v>
      </c>
      <c r="C361">
        <v>0</v>
      </c>
      <c r="D361">
        <v>2</v>
      </c>
      <c r="E361" t="s">
        <v>14</v>
      </c>
      <c r="F361">
        <v>0</v>
      </c>
      <c r="G361">
        <v>2</v>
      </c>
      <c r="H361">
        <v>1</v>
      </c>
    </row>
    <row r="362" spans="1:8" x14ac:dyDescent="0.3">
      <c r="A362">
        <v>3</v>
      </c>
      <c r="B362">
        <v>2</v>
      </c>
      <c r="C362">
        <v>1</v>
      </c>
      <c r="D362">
        <v>0</v>
      </c>
      <c r="E362" t="s">
        <v>14</v>
      </c>
      <c r="F362">
        <v>0</v>
      </c>
      <c r="G362">
        <v>2</v>
      </c>
      <c r="H362">
        <v>1</v>
      </c>
    </row>
    <row r="363" spans="1:8" x14ac:dyDescent="0.3">
      <c r="A363">
        <v>3</v>
      </c>
      <c r="B363">
        <v>1</v>
      </c>
      <c r="C363">
        <v>1</v>
      </c>
      <c r="D363">
        <v>1</v>
      </c>
      <c r="E363" t="s">
        <v>14</v>
      </c>
      <c r="F363">
        <v>1</v>
      </c>
      <c r="G363">
        <v>1</v>
      </c>
      <c r="H363">
        <v>1</v>
      </c>
    </row>
    <row r="364" spans="1:8" x14ac:dyDescent="0.3">
      <c r="A364">
        <v>3</v>
      </c>
      <c r="B364">
        <v>1</v>
      </c>
      <c r="C364">
        <v>1</v>
      </c>
      <c r="D364">
        <v>1</v>
      </c>
      <c r="E364" t="s">
        <v>14</v>
      </c>
      <c r="F364">
        <v>1</v>
      </c>
      <c r="G364">
        <v>0</v>
      </c>
      <c r="H364">
        <v>2</v>
      </c>
    </row>
    <row r="365" spans="1:8" x14ac:dyDescent="0.3">
      <c r="A365">
        <v>3</v>
      </c>
      <c r="B365">
        <v>0</v>
      </c>
      <c r="C365">
        <v>2</v>
      </c>
      <c r="D365">
        <v>1</v>
      </c>
      <c r="E365" t="s">
        <v>14</v>
      </c>
      <c r="F365">
        <v>0</v>
      </c>
      <c r="G365">
        <v>2</v>
      </c>
      <c r="H365">
        <v>1</v>
      </c>
    </row>
    <row r="366" spans="1:8" x14ac:dyDescent="0.3">
      <c r="A366">
        <v>3</v>
      </c>
      <c r="B366">
        <v>2</v>
      </c>
      <c r="C366">
        <v>1</v>
      </c>
      <c r="D366">
        <v>0</v>
      </c>
      <c r="E366" t="s">
        <v>14</v>
      </c>
      <c r="F366">
        <v>2</v>
      </c>
      <c r="G366">
        <v>1</v>
      </c>
      <c r="H366">
        <v>0</v>
      </c>
    </row>
    <row r="367" spans="1:8" x14ac:dyDescent="0.3">
      <c r="A367">
        <v>3</v>
      </c>
      <c r="B367">
        <v>1</v>
      </c>
      <c r="C367">
        <v>1</v>
      </c>
      <c r="D367">
        <v>1</v>
      </c>
      <c r="E367" t="s">
        <v>14</v>
      </c>
      <c r="F367">
        <v>1</v>
      </c>
      <c r="G367">
        <v>1</v>
      </c>
      <c r="H367">
        <v>1</v>
      </c>
    </row>
    <row r="368" spans="1:8" x14ac:dyDescent="0.3">
      <c r="A368">
        <v>3</v>
      </c>
      <c r="B368">
        <v>1</v>
      </c>
      <c r="C368">
        <v>1</v>
      </c>
      <c r="D368">
        <v>1</v>
      </c>
      <c r="E368" t="s">
        <v>14</v>
      </c>
      <c r="F368">
        <v>1</v>
      </c>
      <c r="G368">
        <v>1</v>
      </c>
      <c r="H368">
        <v>1</v>
      </c>
    </row>
    <row r="369" spans="1:8" x14ac:dyDescent="0.3">
      <c r="A369">
        <v>3</v>
      </c>
      <c r="B369">
        <v>1</v>
      </c>
      <c r="C369">
        <v>1</v>
      </c>
      <c r="D369">
        <v>1</v>
      </c>
      <c r="E369" t="s">
        <v>14</v>
      </c>
      <c r="F369">
        <v>2</v>
      </c>
      <c r="G369">
        <v>1</v>
      </c>
      <c r="H369">
        <v>0</v>
      </c>
    </row>
    <row r="370" spans="1:8" x14ac:dyDescent="0.3">
      <c r="A370">
        <v>3</v>
      </c>
      <c r="B370">
        <v>2</v>
      </c>
      <c r="C370">
        <v>1</v>
      </c>
      <c r="D370">
        <v>0</v>
      </c>
      <c r="E370" t="s">
        <v>14</v>
      </c>
      <c r="F370">
        <v>2</v>
      </c>
      <c r="G370">
        <v>1</v>
      </c>
      <c r="H370">
        <v>0</v>
      </c>
    </row>
    <row r="371" spans="1:8" x14ac:dyDescent="0.3">
      <c r="A371">
        <v>3</v>
      </c>
      <c r="B371">
        <v>1</v>
      </c>
      <c r="C371">
        <v>1</v>
      </c>
      <c r="D371">
        <v>1</v>
      </c>
      <c r="E371" t="s">
        <v>14</v>
      </c>
      <c r="F371">
        <v>0</v>
      </c>
      <c r="G371">
        <v>2</v>
      </c>
      <c r="H371">
        <v>1</v>
      </c>
    </row>
    <row r="372" spans="1:8" x14ac:dyDescent="0.3">
      <c r="A372">
        <v>3</v>
      </c>
      <c r="B372">
        <v>1</v>
      </c>
      <c r="C372">
        <v>1</v>
      </c>
      <c r="D372">
        <v>1</v>
      </c>
      <c r="E372" t="s">
        <v>14</v>
      </c>
      <c r="F372">
        <v>1</v>
      </c>
      <c r="G372">
        <v>1</v>
      </c>
      <c r="H372">
        <v>1</v>
      </c>
    </row>
    <row r="373" spans="1:8" x14ac:dyDescent="0.3">
      <c r="A373">
        <v>3</v>
      </c>
      <c r="B373">
        <v>1</v>
      </c>
      <c r="C373">
        <v>0</v>
      </c>
      <c r="D373">
        <v>2</v>
      </c>
      <c r="E373" t="s">
        <v>14</v>
      </c>
      <c r="F373">
        <v>0</v>
      </c>
      <c r="G373">
        <v>2</v>
      </c>
      <c r="H373">
        <v>1</v>
      </c>
    </row>
    <row r="374" spans="1:8" x14ac:dyDescent="0.3">
      <c r="A374">
        <v>3</v>
      </c>
      <c r="B374">
        <v>1</v>
      </c>
      <c r="C374">
        <v>0</v>
      </c>
      <c r="D374">
        <v>2</v>
      </c>
      <c r="E374" t="s">
        <v>14</v>
      </c>
      <c r="F374">
        <v>1</v>
      </c>
      <c r="G374">
        <v>0</v>
      </c>
      <c r="H374">
        <v>2</v>
      </c>
    </row>
    <row r="375" spans="1:8" x14ac:dyDescent="0.3">
      <c r="A375">
        <v>3</v>
      </c>
      <c r="B375">
        <v>1</v>
      </c>
      <c r="C375">
        <v>0</v>
      </c>
      <c r="D375">
        <v>2</v>
      </c>
      <c r="E375" t="s">
        <v>14</v>
      </c>
      <c r="F375">
        <v>1</v>
      </c>
      <c r="G375">
        <v>0</v>
      </c>
      <c r="H375">
        <v>2</v>
      </c>
    </row>
    <row r="376" spans="1:8" x14ac:dyDescent="0.3">
      <c r="A376">
        <v>3</v>
      </c>
      <c r="B376">
        <v>1</v>
      </c>
      <c r="C376">
        <v>1</v>
      </c>
      <c r="D376">
        <v>1</v>
      </c>
      <c r="E376" t="s">
        <v>14</v>
      </c>
      <c r="F376">
        <v>1</v>
      </c>
      <c r="G376">
        <v>1</v>
      </c>
      <c r="H376">
        <v>1</v>
      </c>
    </row>
    <row r="377" spans="1:8" x14ac:dyDescent="0.3">
      <c r="A377">
        <v>3</v>
      </c>
      <c r="B377">
        <v>1</v>
      </c>
      <c r="C377">
        <v>1</v>
      </c>
      <c r="D377">
        <v>1</v>
      </c>
      <c r="E377" t="s">
        <v>14</v>
      </c>
      <c r="F377">
        <v>0</v>
      </c>
      <c r="G377">
        <v>2</v>
      </c>
      <c r="H377">
        <v>1</v>
      </c>
    </row>
    <row r="378" spans="1:8" x14ac:dyDescent="0.3">
      <c r="A378">
        <v>3</v>
      </c>
      <c r="B378">
        <v>1</v>
      </c>
      <c r="C378">
        <v>1</v>
      </c>
      <c r="D378">
        <v>1</v>
      </c>
      <c r="E378" t="s">
        <v>14</v>
      </c>
      <c r="F378">
        <v>0</v>
      </c>
      <c r="G378">
        <v>2</v>
      </c>
      <c r="H378">
        <v>1</v>
      </c>
    </row>
    <row r="379" spans="1:8" x14ac:dyDescent="0.3">
      <c r="A379">
        <v>3</v>
      </c>
      <c r="B379">
        <v>1</v>
      </c>
      <c r="C379">
        <v>1</v>
      </c>
      <c r="D379">
        <v>1</v>
      </c>
      <c r="E379" t="s">
        <v>14</v>
      </c>
      <c r="F379">
        <v>1</v>
      </c>
      <c r="G379">
        <v>1</v>
      </c>
      <c r="H379">
        <v>1</v>
      </c>
    </row>
    <row r="380" spans="1:8" x14ac:dyDescent="0.3">
      <c r="A380">
        <v>3</v>
      </c>
      <c r="B380">
        <v>2</v>
      </c>
      <c r="C380">
        <v>1</v>
      </c>
      <c r="D380">
        <v>0</v>
      </c>
      <c r="E380" t="s">
        <v>14</v>
      </c>
      <c r="F380">
        <v>1</v>
      </c>
      <c r="G380">
        <v>0</v>
      </c>
      <c r="H380">
        <v>2</v>
      </c>
    </row>
    <row r="381" spans="1:8" x14ac:dyDescent="0.3">
      <c r="A381">
        <v>3</v>
      </c>
      <c r="B381">
        <v>1</v>
      </c>
      <c r="C381">
        <v>1</v>
      </c>
      <c r="D381">
        <v>1</v>
      </c>
      <c r="E381" t="s">
        <v>14</v>
      </c>
      <c r="F381">
        <v>1</v>
      </c>
      <c r="G381">
        <v>1</v>
      </c>
      <c r="H381">
        <v>1</v>
      </c>
    </row>
    <row r="382" spans="1:8" x14ac:dyDescent="0.3">
      <c r="A382">
        <v>3</v>
      </c>
      <c r="B382">
        <v>1</v>
      </c>
      <c r="C382">
        <v>0</v>
      </c>
      <c r="D382">
        <v>2</v>
      </c>
      <c r="E382" t="s">
        <v>14</v>
      </c>
      <c r="F382">
        <v>1</v>
      </c>
      <c r="G382">
        <v>0</v>
      </c>
      <c r="H382">
        <v>2</v>
      </c>
    </row>
    <row r="383" spans="1:8" x14ac:dyDescent="0.3">
      <c r="A383">
        <v>3</v>
      </c>
      <c r="B383">
        <v>1</v>
      </c>
      <c r="C383">
        <v>1</v>
      </c>
      <c r="D383">
        <v>1</v>
      </c>
      <c r="E383" t="s">
        <v>14</v>
      </c>
      <c r="F383">
        <v>1</v>
      </c>
      <c r="G383">
        <v>1</v>
      </c>
      <c r="H383">
        <v>1</v>
      </c>
    </row>
    <row r="384" spans="1:8" x14ac:dyDescent="0.3">
      <c r="A384">
        <v>3</v>
      </c>
      <c r="B384">
        <v>1</v>
      </c>
      <c r="C384">
        <v>1</v>
      </c>
      <c r="D384">
        <v>1</v>
      </c>
      <c r="E384" t="s">
        <v>14</v>
      </c>
      <c r="F384">
        <v>2</v>
      </c>
      <c r="G384">
        <v>1</v>
      </c>
      <c r="H384">
        <v>0</v>
      </c>
    </row>
    <row r="385" spans="1:8" x14ac:dyDescent="0.3">
      <c r="A385">
        <v>3</v>
      </c>
      <c r="B385">
        <v>1</v>
      </c>
      <c r="C385">
        <v>1</v>
      </c>
      <c r="D385">
        <v>1</v>
      </c>
      <c r="E385" t="s">
        <v>14</v>
      </c>
      <c r="F385">
        <v>1</v>
      </c>
      <c r="G385">
        <v>1</v>
      </c>
      <c r="H385">
        <v>1</v>
      </c>
    </row>
    <row r="386" spans="1:8" x14ac:dyDescent="0.3">
      <c r="A386">
        <v>3</v>
      </c>
      <c r="B386">
        <v>1</v>
      </c>
      <c r="C386">
        <v>1</v>
      </c>
      <c r="D386">
        <v>1</v>
      </c>
      <c r="E386" t="s">
        <v>14</v>
      </c>
      <c r="F386">
        <v>1</v>
      </c>
      <c r="G386">
        <v>1</v>
      </c>
      <c r="H386">
        <v>1</v>
      </c>
    </row>
    <row r="387" spans="1:8" x14ac:dyDescent="0.3">
      <c r="A387">
        <v>3</v>
      </c>
      <c r="B387">
        <v>1</v>
      </c>
      <c r="C387">
        <v>1</v>
      </c>
      <c r="D387">
        <v>1</v>
      </c>
      <c r="E387" t="s">
        <v>14</v>
      </c>
      <c r="F387">
        <v>1</v>
      </c>
      <c r="G387">
        <v>1</v>
      </c>
      <c r="H387">
        <v>1</v>
      </c>
    </row>
    <row r="388" spans="1:8" x14ac:dyDescent="0.3">
      <c r="A388">
        <v>3</v>
      </c>
      <c r="B388">
        <v>1</v>
      </c>
      <c r="C388">
        <v>1</v>
      </c>
      <c r="D388">
        <v>1</v>
      </c>
      <c r="E388" t="s">
        <v>14</v>
      </c>
      <c r="F388">
        <v>1</v>
      </c>
      <c r="G388">
        <v>1</v>
      </c>
      <c r="H388">
        <v>1</v>
      </c>
    </row>
    <row r="389" spans="1:8" x14ac:dyDescent="0.3">
      <c r="A389">
        <v>3</v>
      </c>
      <c r="B389">
        <v>1</v>
      </c>
      <c r="C389">
        <v>1</v>
      </c>
      <c r="D389">
        <v>1</v>
      </c>
      <c r="E389" t="s">
        <v>14</v>
      </c>
      <c r="F389">
        <v>0</v>
      </c>
      <c r="G389">
        <v>2</v>
      </c>
      <c r="H389">
        <v>1</v>
      </c>
    </row>
    <row r="390" spans="1:8" x14ac:dyDescent="0.3">
      <c r="A390">
        <v>3</v>
      </c>
      <c r="B390">
        <v>1</v>
      </c>
      <c r="C390">
        <v>1</v>
      </c>
      <c r="D390">
        <v>1</v>
      </c>
      <c r="E390" t="s">
        <v>14</v>
      </c>
      <c r="F390">
        <v>1</v>
      </c>
      <c r="G390">
        <v>0</v>
      </c>
      <c r="H390">
        <v>2</v>
      </c>
    </row>
    <row r="391" spans="1:8" x14ac:dyDescent="0.3">
      <c r="A391">
        <v>3</v>
      </c>
      <c r="B391">
        <v>1</v>
      </c>
      <c r="C391">
        <v>1</v>
      </c>
      <c r="D391">
        <v>1</v>
      </c>
      <c r="E391" t="s">
        <v>14</v>
      </c>
      <c r="F391">
        <v>0</v>
      </c>
      <c r="G391">
        <v>2</v>
      </c>
      <c r="H391">
        <v>1</v>
      </c>
    </row>
    <row r="392" spans="1:8" x14ac:dyDescent="0.3">
      <c r="A392">
        <v>4</v>
      </c>
      <c r="B392">
        <v>2</v>
      </c>
      <c r="C392">
        <v>1</v>
      </c>
      <c r="D392">
        <v>1</v>
      </c>
      <c r="E392" t="s">
        <v>14</v>
      </c>
      <c r="F392">
        <v>0</v>
      </c>
      <c r="G392">
        <v>2</v>
      </c>
      <c r="H392">
        <v>2</v>
      </c>
    </row>
    <row r="393" spans="1:8" x14ac:dyDescent="0.3">
      <c r="A393">
        <v>4</v>
      </c>
      <c r="B393">
        <v>1</v>
      </c>
      <c r="C393">
        <v>1</v>
      </c>
      <c r="D393">
        <v>2</v>
      </c>
      <c r="E393" t="s">
        <v>14</v>
      </c>
      <c r="F393">
        <v>0</v>
      </c>
      <c r="G393">
        <v>2</v>
      </c>
      <c r="H393">
        <v>2</v>
      </c>
    </row>
    <row r="394" spans="1:8" x14ac:dyDescent="0.3">
      <c r="A394">
        <v>4</v>
      </c>
      <c r="B394">
        <v>1</v>
      </c>
      <c r="C394">
        <v>1</v>
      </c>
      <c r="D394">
        <v>2</v>
      </c>
      <c r="E394" t="s">
        <v>14</v>
      </c>
      <c r="F394">
        <v>0</v>
      </c>
      <c r="G394">
        <v>2</v>
      </c>
      <c r="H394">
        <v>2</v>
      </c>
    </row>
    <row r="395" spans="1:8" x14ac:dyDescent="0.3">
      <c r="A395">
        <v>4</v>
      </c>
      <c r="B395">
        <v>1</v>
      </c>
      <c r="C395">
        <v>2</v>
      </c>
      <c r="D395">
        <v>1</v>
      </c>
      <c r="E395" t="s">
        <v>14</v>
      </c>
      <c r="F395">
        <v>1</v>
      </c>
      <c r="G395">
        <v>2</v>
      </c>
      <c r="H395">
        <v>1</v>
      </c>
    </row>
    <row r="396" spans="1:8" x14ac:dyDescent="0.3">
      <c r="A396">
        <v>4</v>
      </c>
      <c r="B396">
        <v>1</v>
      </c>
      <c r="C396">
        <v>2</v>
      </c>
      <c r="D396">
        <v>1</v>
      </c>
      <c r="E396" t="s">
        <v>14</v>
      </c>
      <c r="F396">
        <v>2</v>
      </c>
      <c r="G396">
        <v>0</v>
      </c>
      <c r="H396">
        <v>2</v>
      </c>
    </row>
    <row r="397" spans="1:8" x14ac:dyDescent="0.3">
      <c r="A397">
        <v>4</v>
      </c>
      <c r="B397">
        <v>1</v>
      </c>
      <c r="C397">
        <v>2</v>
      </c>
      <c r="D397">
        <v>1</v>
      </c>
      <c r="E397" t="s">
        <v>14</v>
      </c>
      <c r="F397">
        <v>1</v>
      </c>
      <c r="G397">
        <v>2</v>
      </c>
      <c r="H397">
        <v>1</v>
      </c>
    </row>
    <row r="398" spans="1:8" x14ac:dyDescent="0.3">
      <c r="A398">
        <v>4</v>
      </c>
      <c r="B398">
        <v>1</v>
      </c>
      <c r="C398">
        <v>1</v>
      </c>
      <c r="D398">
        <v>2</v>
      </c>
      <c r="E398" t="s">
        <v>14</v>
      </c>
      <c r="F398">
        <v>1</v>
      </c>
      <c r="G398">
        <v>1</v>
      </c>
      <c r="H398">
        <v>2</v>
      </c>
    </row>
    <row r="399" spans="1:8" x14ac:dyDescent="0.3">
      <c r="A399">
        <v>4</v>
      </c>
      <c r="B399">
        <v>1</v>
      </c>
      <c r="C399">
        <v>2</v>
      </c>
      <c r="D399">
        <v>1</v>
      </c>
      <c r="E399" t="s">
        <v>14</v>
      </c>
      <c r="F399">
        <v>1</v>
      </c>
      <c r="G399">
        <v>2</v>
      </c>
      <c r="H399">
        <v>1</v>
      </c>
    </row>
    <row r="400" spans="1:8" x14ac:dyDescent="0.3">
      <c r="A400">
        <v>4</v>
      </c>
      <c r="B400">
        <v>2</v>
      </c>
      <c r="C400">
        <v>1</v>
      </c>
      <c r="D400">
        <v>1</v>
      </c>
      <c r="E400" t="s">
        <v>14</v>
      </c>
      <c r="F400">
        <v>2</v>
      </c>
      <c r="G400">
        <v>0</v>
      </c>
      <c r="H400">
        <v>2</v>
      </c>
    </row>
    <row r="401" spans="1:8" x14ac:dyDescent="0.3">
      <c r="A401">
        <v>4</v>
      </c>
      <c r="B401">
        <v>1</v>
      </c>
      <c r="C401">
        <v>1</v>
      </c>
      <c r="D401">
        <v>2</v>
      </c>
      <c r="E401" t="s">
        <v>14</v>
      </c>
      <c r="F401">
        <v>1</v>
      </c>
      <c r="G401">
        <v>1</v>
      </c>
      <c r="H401">
        <v>2</v>
      </c>
    </row>
    <row r="402" spans="1:8" x14ac:dyDescent="0.3">
      <c r="A402">
        <v>4</v>
      </c>
      <c r="B402">
        <v>1</v>
      </c>
      <c r="C402">
        <v>1</v>
      </c>
      <c r="D402">
        <v>2</v>
      </c>
      <c r="E402" t="s">
        <v>14</v>
      </c>
      <c r="F402">
        <v>1</v>
      </c>
      <c r="G402">
        <v>1</v>
      </c>
      <c r="H402">
        <v>2</v>
      </c>
    </row>
    <row r="403" spans="1:8" x14ac:dyDescent="0.3">
      <c r="A403">
        <v>4</v>
      </c>
      <c r="B403">
        <v>2</v>
      </c>
      <c r="C403">
        <v>1</v>
      </c>
      <c r="D403">
        <v>1</v>
      </c>
      <c r="E403" t="s">
        <v>14</v>
      </c>
      <c r="F403">
        <v>2</v>
      </c>
      <c r="G403">
        <v>1</v>
      </c>
      <c r="H403">
        <v>1</v>
      </c>
    </row>
    <row r="404" spans="1:8" x14ac:dyDescent="0.3">
      <c r="A404">
        <v>4</v>
      </c>
      <c r="B404">
        <v>1</v>
      </c>
      <c r="C404">
        <v>1</v>
      </c>
      <c r="D404">
        <v>2</v>
      </c>
      <c r="E404" t="s">
        <v>14</v>
      </c>
      <c r="F404">
        <v>1</v>
      </c>
      <c r="G404">
        <v>1</v>
      </c>
      <c r="H404">
        <v>2</v>
      </c>
    </row>
    <row r="405" spans="1:8" x14ac:dyDescent="0.3">
      <c r="A405">
        <v>4</v>
      </c>
      <c r="B405">
        <v>1</v>
      </c>
      <c r="C405">
        <v>1</v>
      </c>
      <c r="D405">
        <v>2</v>
      </c>
      <c r="E405" t="s">
        <v>14</v>
      </c>
      <c r="F405">
        <v>0</v>
      </c>
      <c r="G405">
        <v>2</v>
      </c>
      <c r="H405">
        <v>2</v>
      </c>
    </row>
    <row r="406" spans="1:8" x14ac:dyDescent="0.3">
      <c r="A406">
        <v>4</v>
      </c>
      <c r="B406">
        <v>2</v>
      </c>
      <c r="C406">
        <v>1</v>
      </c>
      <c r="D406">
        <v>1</v>
      </c>
      <c r="E406" t="s">
        <v>14</v>
      </c>
      <c r="F406">
        <v>0</v>
      </c>
      <c r="G406">
        <v>2</v>
      </c>
      <c r="H406">
        <v>2</v>
      </c>
    </row>
    <row r="407" spans="1:8" x14ac:dyDescent="0.3">
      <c r="A407">
        <v>5</v>
      </c>
      <c r="B407">
        <v>2</v>
      </c>
      <c r="C407">
        <v>1</v>
      </c>
      <c r="D407">
        <v>2</v>
      </c>
      <c r="E407" t="s">
        <v>14</v>
      </c>
      <c r="F407">
        <v>2</v>
      </c>
      <c r="G407">
        <v>1</v>
      </c>
      <c r="H407">
        <v>2</v>
      </c>
    </row>
    <row r="408" spans="1:8" x14ac:dyDescent="0.3">
      <c r="A408">
        <v>5</v>
      </c>
      <c r="B408">
        <v>2</v>
      </c>
      <c r="C408">
        <v>2</v>
      </c>
      <c r="D408">
        <v>1</v>
      </c>
      <c r="E408" t="s">
        <v>14</v>
      </c>
      <c r="F408">
        <v>2</v>
      </c>
      <c r="G408">
        <v>3</v>
      </c>
      <c r="H408">
        <v>0</v>
      </c>
    </row>
    <row r="409" spans="1:8" x14ac:dyDescent="0.3">
      <c r="A409">
        <v>5</v>
      </c>
      <c r="B409">
        <v>1</v>
      </c>
      <c r="C409">
        <v>2</v>
      </c>
      <c r="D409">
        <v>2</v>
      </c>
      <c r="E409" t="s">
        <v>14</v>
      </c>
      <c r="F409">
        <v>2</v>
      </c>
      <c r="G409">
        <v>3</v>
      </c>
      <c r="H409">
        <v>0</v>
      </c>
    </row>
    <row r="410" spans="1:8" x14ac:dyDescent="0.3">
      <c r="A410">
        <v>5</v>
      </c>
      <c r="B410">
        <v>2</v>
      </c>
      <c r="C410">
        <v>2</v>
      </c>
      <c r="D410">
        <v>1</v>
      </c>
      <c r="E410" t="s">
        <v>14</v>
      </c>
      <c r="F410">
        <v>2</v>
      </c>
      <c r="G410">
        <v>2</v>
      </c>
      <c r="H410">
        <v>1</v>
      </c>
    </row>
    <row r="411" spans="1:8" x14ac:dyDescent="0.3">
      <c r="A411">
        <v>6</v>
      </c>
      <c r="B411">
        <v>2</v>
      </c>
      <c r="C411">
        <v>3</v>
      </c>
      <c r="D411">
        <v>1</v>
      </c>
      <c r="E411" t="s">
        <v>14</v>
      </c>
      <c r="F411">
        <v>2</v>
      </c>
      <c r="G411">
        <v>3</v>
      </c>
      <c r="H411">
        <v>1</v>
      </c>
    </row>
    <row r="412" spans="1:8" x14ac:dyDescent="0.3">
      <c r="A412">
        <v>6</v>
      </c>
      <c r="B412">
        <v>1</v>
      </c>
      <c r="C412">
        <v>2</v>
      </c>
      <c r="D412">
        <v>3</v>
      </c>
      <c r="E412" t="s">
        <v>14</v>
      </c>
      <c r="F412">
        <v>1</v>
      </c>
      <c r="G412">
        <v>2</v>
      </c>
      <c r="H412">
        <v>3</v>
      </c>
    </row>
    <row r="413" spans="1:8" x14ac:dyDescent="0.3">
      <c r="A413">
        <v>6</v>
      </c>
      <c r="B413">
        <v>2</v>
      </c>
      <c r="C413">
        <v>2</v>
      </c>
      <c r="D413">
        <v>2</v>
      </c>
      <c r="E413" t="s">
        <v>14</v>
      </c>
      <c r="F413">
        <v>2</v>
      </c>
      <c r="G413">
        <v>2</v>
      </c>
      <c r="H413">
        <v>2</v>
      </c>
    </row>
    <row r="414" spans="1:8" x14ac:dyDescent="0.3">
      <c r="A414">
        <v>6</v>
      </c>
      <c r="B414">
        <v>3</v>
      </c>
      <c r="C414">
        <v>1</v>
      </c>
      <c r="D414">
        <v>2</v>
      </c>
      <c r="E414" t="s">
        <v>14</v>
      </c>
      <c r="F414">
        <v>3</v>
      </c>
      <c r="G414">
        <v>1</v>
      </c>
      <c r="H414">
        <v>2</v>
      </c>
    </row>
    <row r="415" spans="1:8" x14ac:dyDescent="0.3">
      <c r="A415">
        <v>7</v>
      </c>
      <c r="B415">
        <v>2</v>
      </c>
      <c r="C415">
        <v>2</v>
      </c>
      <c r="D415">
        <v>3</v>
      </c>
      <c r="E415" t="s">
        <v>14</v>
      </c>
      <c r="F415">
        <v>2</v>
      </c>
      <c r="G415">
        <v>2</v>
      </c>
      <c r="H415">
        <v>3</v>
      </c>
    </row>
    <row r="416" spans="1:8" x14ac:dyDescent="0.3">
      <c r="A416">
        <v>7</v>
      </c>
      <c r="B416">
        <v>2</v>
      </c>
      <c r="C416">
        <v>2</v>
      </c>
      <c r="D416">
        <v>3</v>
      </c>
      <c r="E416" t="s">
        <v>14</v>
      </c>
      <c r="F416">
        <v>2</v>
      </c>
      <c r="G416">
        <v>2</v>
      </c>
      <c r="H416">
        <v>3</v>
      </c>
    </row>
    <row r="417" spans="1:8" x14ac:dyDescent="0.3">
      <c r="A417">
        <v>7</v>
      </c>
      <c r="B417">
        <v>2</v>
      </c>
      <c r="C417">
        <v>3</v>
      </c>
      <c r="D417">
        <v>2</v>
      </c>
      <c r="E417" t="s">
        <v>14</v>
      </c>
      <c r="F417">
        <v>2</v>
      </c>
      <c r="G417">
        <v>3</v>
      </c>
      <c r="H417">
        <v>2</v>
      </c>
    </row>
    <row r="418" spans="1:8" x14ac:dyDescent="0.3">
      <c r="A418">
        <v>7</v>
      </c>
      <c r="B418">
        <v>2</v>
      </c>
      <c r="C418">
        <v>2</v>
      </c>
      <c r="D418">
        <v>3</v>
      </c>
      <c r="E418" t="s">
        <v>14</v>
      </c>
      <c r="F418">
        <v>2</v>
      </c>
      <c r="G418">
        <v>2</v>
      </c>
      <c r="H418">
        <v>3</v>
      </c>
    </row>
    <row r="419" spans="1:8" x14ac:dyDescent="0.3">
      <c r="A419">
        <v>8</v>
      </c>
      <c r="B419">
        <v>2</v>
      </c>
      <c r="C419">
        <v>3</v>
      </c>
      <c r="D419">
        <v>3</v>
      </c>
      <c r="E419" t="s">
        <v>14</v>
      </c>
      <c r="F419">
        <v>2</v>
      </c>
      <c r="G419">
        <v>3</v>
      </c>
      <c r="H419">
        <v>3</v>
      </c>
    </row>
    <row r="420" spans="1:8" x14ac:dyDescent="0.3">
      <c r="A420">
        <v>8</v>
      </c>
      <c r="B420">
        <v>3</v>
      </c>
      <c r="C420">
        <v>2</v>
      </c>
      <c r="D420">
        <v>3</v>
      </c>
      <c r="E420" t="s">
        <v>14</v>
      </c>
      <c r="F420">
        <v>3</v>
      </c>
      <c r="G420">
        <v>2</v>
      </c>
      <c r="H420">
        <v>3</v>
      </c>
    </row>
    <row r="421" spans="1:8" x14ac:dyDescent="0.3">
      <c r="A421">
        <v>2</v>
      </c>
      <c r="B421">
        <v>1</v>
      </c>
      <c r="C421">
        <v>0</v>
      </c>
      <c r="D421">
        <v>1</v>
      </c>
      <c r="E421" t="s">
        <v>14</v>
      </c>
      <c r="F421">
        <v>1</v>
      </c>
      <c r="G421">
        <v>0</v>
      </c>
      <c r="H421">
        <v>1</v>
      </c>
    </row>
    <row r="422" spans="1:8" x14ac:dyDescent="0.3">
      <c r="A422">
        <v>2</v>
      </c>
      <c r="B422">
        <v>0</v>
      </c>
      <c r="C422">
        <v>1</v>
      </c>
      <c r="D422">
        <v>1</v>
      </c>
      <c r="E422" t="s">
        <v>14</v>
      </c>
      <c r="F422">
        <v>0</v>
      </c>
      <c r="G422">
        <v>1</v>
      </c>
      <c r="H422">
        <v>1</v>
      </c>
    </row>
    <row r="423" spans="1:8" x14ac:dyDescent="0.3">
      <c r="A423">
        <v>2</v>
      </c>
      <c r="B423">
        <v>1</v>
      </c>
      <c r="C423">
        <v>1</v>
      </c>
      <c r="D423">
        <v>0</v>
      </c>
      <c r="E423" t="s">
        <v>14</v>
      </c>
      <c r="F423">
        <v>2</v>
      </c>
      <c r="G423">
        <v>0</v>
      </c>
      <c r="H423">
        <v>0</v>
      </c>
    </row>
    <row r="424" spans="1:8" x14ac:dyDescent="0.3">
      <c r="A424">
        <v>2</v>
      </c>
      <c r="B424">
        <v>0</v>
      </c>
      <c r="C424">
        <v>1</v>
      </c>
      <c r="D424">
        <v>1</v>
      </c>
      <c r="E424" t="s">
        <v>14</v>
      </c>
      <c r="F424">
        <v>2</v>
      </c>
      <c r="G424">
        <v>0</v>
      </c>
      <c r="H424">
        <v>0</v>
      </c>
    </row>
    <row r="425" spans="1:8" x14ac:dyDescent="0.3">
      <c r="A425">
        <v>3</v>
      </c>
      <c r="B425">
        <v>1</v>
      </c>
      <c r="C425">
        <v>1</v>
      </c>
      <c r="D425">
        <v>1</v>
      </c>
      <c r="E425" t="s">
        <v>14</v>
      </c>
      <c r="F425">
        <v>0</v>
      </c>
      <c r="G425">
        <v>2</v>
      </c>
      <c r="H425">
        <v>1</v>
      </c>
    </row>
    <row r="426" spans="1:8" x14ac:dyDescent="0.3">
      <c r="A426">
        <v>3</v>
      </c>
      <c r="B426">
        <v>1</v>
      </c>
      <c r="C426">
        <v>1</v>
      </c>
      <c r="D426">
        <v>1</v>
      </c>
      <c r="E426" t="s">
        <v>14</v>
      </c>
      <c r="F426">
        <v>1</v>
      </c>
      <c r="G426">
        <v>1</v>
      </c>
      <c r="H426">
        <v>1</v>
      </c>
    </row>
    <row r="427" spans="1:8" x14ac:dyDescent="0.3">
      <c r="A427">
        <v>3</v>
      </c>
      <c r="B427">
        <v>1</v>
      </c>
      <c r="C427">
        <v>1</v>
      </c>
      <c r="D427">
        <v>1</v>
      </c>
      <c r="E427" t="s">
        <v>14</v>
      </c>
      <c r="F427">
        <v>0</v>
      </c>
      <c r="G427">
        <v>2</v>
      </c>
      <c r="H427">
        <v>1</v>
      </c>
    </row>
    <row r="428" spans="1:8" x14ac:dyDescent="0.3">
      <c r="A428">
        <v>3</v>
      </c>
      <c r="B428">
        <v>1</v>
      </c>
      <c r="C428">
        <v>1</v>
      </c>
      <c r="D428">
        <v>1</v>
      </c>
      <c r="E428" t="s">
        <v>14</v>
      </c>
      <c r="F428">
        <v>1</v>
      </c>
      <c r="G428">
        <v>0</v>
      </c>
      <c r="H428">
        <v>2</v>
      </c>
    </row>
    <row r="429" spans="1:8" x14ac:dyDescent="0.3">
      <c r="A429">
        <v>3</v>
      </c>
      <c r="B429">
        <v>1</v>
      </c>
      <c r="C429">
        <v>1</v>
      </c>
      <c r="D429">
        <v>1</v>
      </c>
      <c r="E429" t="s">
        <v>14</v>
      </c>
      <c r="F429">
        <v>1</v>
      </c>
      <c r="G429">
        <v>0</v>
      </c>
      <c r="H429">
        <v>2</v>
      </c>
    </row>
    <row r="430" spans="1:8" x14ac:dyDescent="0.3">
      <c r="A430">
        <v>3</v>
      </c>
      <c r="B430">
        <v>0</v>
      </c>
      <c r="C430">
        <v>2</v>
      </c>
      <c r="D430">
        <v>1</v>
      </c>
      <c r="E430" t="s">
        <v>14</v>
      </c>
      <c r="F430">
        <v>1</v>
      </c>
      <c r="G430">
        <v>0</v>
      </c>
      <c r="H430">
        <v>2</v>
      </c>
    </row>
    <row r="431" spans="1:8" x14ac:dyDescent="0.3">
      <c r="A431">
        <v>3</v>
      </c>
      <c r="B431">
        <v>1</v>
      </c>
      <c r="C431">
        <v>1</v>
      </c>
      <c r="D431">
        <v>1</v>
      </c>
      <c r="E431" t="s">
        <v>14</v>
      </c>
      <c r="F431">
        <v>1</v>
      </c>
      <c r="G431">
        <v>0</v>
      </c>
      <c r="H431">
        <v>2</v>
      </c>
    </row>
    <row r="432" spans="1:8" x14ac:dyDescent="0.3">
      <c r="A432">
        <v>3</v>
      </c>
      <c r="B432">
        <v>1</v>
      </c>
      <c r="C432">
        <v>1</v>
      </c>
      <c r="D432">
        <v>1</v>
      </c>
      <c r="E432" t="s">
        <v>14</v>
      </c>
      <c r="F432">
        <v>1</v>
      </c>
      <c r="G432">
        <v>1</v>
      </c>
      <c r="H432">
        <v>1</v>
      </c>
    </row>
    <row r="433" spans="1:8" x14ac:dyDescent="0.3">
      <c r="A433">
        <v>3</v>
      </c>
      <c r="B433">
        <v>1</v>
      </c>
      <c r="C433">
        <v>1</v>
      </c>
      <c r="D433">
        <v>1</v>
      </c>
      <c r="E433" t="s">
        <v>14</v>
      </c>
      <c r="F433">
        <v>1</v>
      </c>
      <c r="G433">
        <v>1</v>
      </c>
      <c r="H433">
        <v>1</v>
      </c>
    </row>
    <row r="434" spans="1:8" x14ac:dyDescent="0.3">
      <c r="A434">
        <v>3</v>
      </c>
      <c r="B434">
        <v>1</v>
      </c>
      <c r="C434">
        <v>1</v>
      </c>
      <c r="D434">
        <v>1</v>
      </c>
      <c r="E434" t="s">
        <v>14</v>
      </c>
      <c r="F434">
        <v>1</v>
      </c>
      <c r="G434">
        <v>1</v>
      </c>
      <c r="H434">
        <v>1</v>
      </c>
    </row>
    <row r="435" spans="1:8" x14ac:dyDescent="0.3">
      <c r="A435">
        <v>3</v>
      </c>
      <c r="B435">
        <v>1</v>
      </c>
      <c r="C435">
        <v>1</v>
      </c>
      <c r="D435">
        <v>1</v>
      </c>
      <c r="E435" t="s">
        <v>14</v>
      </c>
      <c r="F435">
        <v>2</v>
      </c>
      <c r="G435">
        <v>1</v>
      </c>
      <c r="H435">
        <v>0</v>
      </c>
    </row>
    <row r="436" spans="1:8" x14ac:dyDescent="0.3">
      <c r="A436">
        <v>3</v>
      </c>
      <c r="B436">
        <v>0</v>
      </c>
      <c r="C436">
        <v>2</v>
      </c>
      <c r="D436">
        <v>1</v>
      </c>
      <c r="E436" t="s">
        <v>14</v>
      </c>
      <c r="F436">
        <v>1</v>
      </c>
      <c r="G436">
        <v>0</v>
      </c>
      <c r="H436">
        <v>2</v>
      </c>
    </row>
    <row r="437" spans="1:8" x14ac:dyDescent="0.3">
      <c r="A437">
        <v>3</v>
      </c>
      <c r="B437">
        <v>1</v>
      </c>
      <c r="C437">
        <v>0</v>
      </c>
      <c r="D437">
        <v>2</v>
      </c>
      <c r="E437" t="s">
        <v>14</v>
      </c>
      <c r="F437">
        <v>1</v>
      </c>
      <c r="G437">
        <v>0</v>
      </c>
      <c r="H437">
        <v>2</v>
      </c>
    </row>
    <row r="438" spans="1:8" x14ac:dyDescent="0.3">
      <c r="A438">
        <v>3</v>
      </c>
      <c r="B438">
        <v>0</v>
      </c>
      <c r="C438">
        <v>2</v>
      </c>
      <c r="D438">
        <v>1</v>
      </c>
      <c r="E438" t="s">
        <v>14</v>
      </c>
      <c r="F438">
        <v>0</v>
      </c>
      <c r="G438">
        <v>2</v>
      </c>
      <c r="H438">
        <v>1</v>
      </c>
    </row>
    <row r="439" spans="1:8" x14ac:dyDescent="0.3">
      <c r="A439">
        <v>3</v>
      </c>
      <c r="B439">
        <v>1</v>
      </c>
      <c r="C439">
        <v>1</v>
      </c>
      <c r="D439">
        <v>1</v>
      </c>
      <c r="E439" t="s">
        <v>14</v>
      </c>
      <c r="F439">
        <v>1</v>
      </c>
      <c r="G439">
        <v>1</v>
      </c>
      <c r="H439">
        <v>1</v>
      </c>
    </row>
    <row r="440" spans="1:8" x14ac:dyDescent="0.3">
      <c r="A440">
        <v>3</v>
      </c>
      <c r="B440">
        <v>1</v>
      </c>
      <c r="C440">
        <v>1</v>
      </c>
      <c r="D440">
        <v>1</v>
      </c>
      <c r="E440" t="s">
        <v>14</v>
      </c>
      <c r="F440">
        <v>1</v>
      </c>
      <c r="G440">
        <v>1</v>
      </c>
      <c r="H440">
        <v>1</v>
      </c>
    </row>
    <row r="441" spans="1:8" x14ac:dyDescent="0.3">
      <c r="A441">
        <v>3</v>
      </c>
      <c r="B441">
        <v>1</v>
      </c>
      <c r="C441">
        <v>0</v>
      </c>
      <c r="D441">
        <v>2</v>
      </c>
      <c r="E441" t="s">
        <v>14</v>
      </c>
      <c r="F441">
        <v>1</v>
      </c>
      <c r="G441">
        <v>0</v>
      </c>
      <c r="H441">
        <v>2</v>
      </c>
    </row>
    <row r="442" spans="1:8" x14ac:dyDescent="0.3">
      <c r="A442">
        <v>3</v>
      </c>
      <c r="B442">
        <v>1</v>
      </c>
      <c r="C442">
        <v>1</v>
      </c>
      <c r="D442">
        <v>1</v>
      </c>
      <c r="E442" t="s">
        <v>14</v>
      </c>
      <c r="F442">
        <v>1</v>
      </c>
      <c r="G442">
        <v>1</v>
      </c>
      <c r="H442">
        <v>1</v>
      </c>
    </row>
    <row r="443" spans="1:8" x14ac:dyDescent="0.3">
      <c r="A443">
        <v>3</v>
      </c>
      <c r="B443">
        <v>1</v>
      </c>
      <c r="C443">
        <v>1</v>
      </c>
      <c r="D443">
        <v>1</v>
      </c>
      <c r="E443" t="s">
        <v>14</v>
      </c>
      <c r="F443">
        <v>2</v>
      </c>
      <c r="G443">
        <v>1</v>
      </c>
      <c r="H443">
        <v>0</v>
      </c>
    </row>
    <row r="444" spans="1:8" x14ac:dyDescent="0.3">
      <c r="A444">
        <v>3</v>
      </c>
      <c r="B444">
        <v>1</v>
      </c>
      <c r="C444">
        <v>0</v>
      </c>
      <c r="D444">
        <v>2</v>
      </c>
      <c r="E444" t="s">
        <v>14</v>
      </c>
      <c r="F444">
        <v>1</v>
      </c>
      <c r="G444">
        <v>0</v>
      </c>
      <c r="H444">
        <v>2</v>
      </c>
    </row>
    <row r="445" spans="1:8" x14ac:dyDescent="0.3">
      <c r="A445">
        <v>3</v>
      </c>
      <c r="B445">
        <v>1</v>
      </c>
      <c r="C445">
        <v>0</v>
      </c>
      <c r="D445">
        <v>2</v>
      </c>
      <c r="E445" t="s">
        <v>14</v>
      </c>
      <c r="F445">
        <v>1</v>
      </c>
      <c r="G445">
        <v>0</v>
      </c>
      <c r="H445">
        <v>2</v>
      </c>
    </row>
    <row r="446" spans="1:8" x14ac:dyDescent="0.3">
      <c r="A446">
        <v>3</v>
      </c>
      <c r="B446">
        <v>1</v>
      </c>
      <c r="C446">
        <v>1</v>
      </c>
      <c r="D446">
        <v>1</v>
      </c>
      <c r="E446" t="s">
        <v>14</v>
      </c>
      <c r="F446">
        <v>1</v>
      </c>
      <c r="G446">
        <v>1</v>
      </c>
      <c r="H446">
        <v>1</v>
      </c>
    </row>
    <row r="447" spans="1:8" x14ac:dyDescent="0.3">
      <c r="A447">
        <v>3</v>
      </c>
      <c r="B447">
        <v>1</v>
      </c>
      <c r="C447">
        <v>1</v>
      </c>
      <c r="D447">
        <v>1</v>
      </c>
      <c r="E447" t="s">
        <v>14</v>
      </c>
      <c r="F447">
        <v>1</v>
      </c>
      <c r="G447">
        <v>1</v>
      </c>
      <c r="H447">
        <v>1</v>
      </c>
    </row>
    <row r="448" spans="1:8" x14ac:dyDescent="0.3">
      <c r="A448">
        <v>3</v>
      </c>
      <c r="B448">
        <v>1</v>
      </c>
      <c r="C448">
        <v>0</v>
      </c>
      <c r="D448">
        <v>2</v>
      </c>
      <c r="E448" t="s">
        <v>14</v>
      </c>
      <c r="F448">
        <v>1</v>
      </c>
      <c r="G448">
        <v>0</v>
      </c>
      <c r="H448">
        <v>2</v>
      </c>
    </row>
    <row r="449" spans="1:8" x14ac:dyDescent="0.3">
      <c r="A449">
        <v>3</v>
      </c>
      <c r="B449">
        <v>2</v>
      </c>
      <c r="C449">
        <v>1</v>
      </c>
      <c r="D449">
        <v>0</v>
      </c>
      <c r="E449" t="s">
        <v>14</v>
      </c>
      <c r="F449">
        <v>2</v>
      </c>
      <c r="G449">
        <v>1</v>
      </c>
      <c r="H449">
        <v>0</v>
      </c>
    </row>
    <row r="450" spans="1:8" x14ac:dyDescent="0.3">
      <c r="A450">
        <v>3</v>
      </c>
      <c r="B450">
        <v>1</v>
      </c>
      <c r="C450">
        <v>1</v>
      </c>
      <c r="D450">
        <v>1</v>
      </c>
      <c r="E450" t="s">
        <v>14</v>
      </c>
      <c r="F450">
        <v>0</v>
      </c>
      <c r="G450">
        <v>2</v>
      </c>
      <c r="H450">
        <v>1</v>
      </c>
    </row>
    <row r="451" spans="1:8" x14ac:dyDescent="0.3">
      <c r="A451">
        <v>3</v>
      </c>
      <c r="B451">
        <v>1</v>
      </c>
      <c r="C451">
        <v>1</v>
      </c>
      <c r="D451">
        <v>1</v>
      </c>
      <c r="E451" t="s">
        <v>14</v>
      </c>
      <c r="F451">
        <v>2</v>
      </c>
      <c r="G451">
        <v>1</v>
      </c>
      <c r="H451">
        <v>0</v>
      </c>
    </row>
    <row r="452" spans="1:8" x14ac:dyDescent="0.3">
      <c r="A452">
        <v>3</v>
      </c>
      <c r="B452">
        <v>1</v>
      </c>
      <c r="C452">
        <v>0</v>
      </c>
      <c r="D452">
        <v>2</v>
      </c>
      <c r="E452" t="s">
        <v>14</v>
      </c>
      <c r="F452">
        <v>1</v>
      </c>
      <c r="G452">
        <v>0</v>
      </c>
      <c r="H452">
        <v>2</v>
      </c>
    </row>
    <row r="453" spans="1:8" x14ac:dyDescent="0.3">
      <c r="A453">
        <v>3</v>
      </c>
      <c r="B453">
        <v>1</v>
      </c>
      <c r="C453">
        <v>0</v>
      </c>
      <c r="D453">
        <v>2</v>
      </c>
      <c r="E453" t="s">
        <v>14</v>
      </c>
      <c r="F453">
        <v>1</v>
      </c>
      <c r="G453">
        <v>0</v>
      </c>
      <c r="H453">
        <v>2</v>
      </c>
    </row>
    <row r="454" spans="1:8" x14ac:dyDescent="0.3">
      <c r="A454">
        <v>3</v>
      </c>
      <c r="B454">
        <v>1</v>
      </c>
      <c r="C454">
        <v>1</v>
      </c>
      <c r="D454">
        <v>1</v>
      </c>
      <c r="E454" t="s">
        <v>14</v>
      </c>
      <c r="F454">
        <v>2</v>
      </c>
      <c r="G454">
        <v>1</v>
      </c>
      <c r="H454">
        <v>0</v>
      </c>
    </row>
    <row r="455" spans="1:8" x14ac:dyDescent="0.3">
      <c r="A455">
        <v>3</v>
      </c>
      <c r="B455">
        <v>1</v>
      </c>
      <c r="C455">
        <v>1</v>
      </c>
      <c r="D455">
        <v>1</v>
      </c>
      <c r="E455" t="s">
        <v>14</v>
      </c>
      <c r="F455">
        <v>2</v>
      </c>
      <c r="G455">
        <v>1</v>
      </c>
      <c r="H455">
        <v>0</v>
      </c>
    </row>
    <row r="456" spans="1:8" x14ac:dyDescent="0.3">
      <c r="A456">
        <v>3</v>
      </c>
      <c r="B456">
        <v>1</v>
      </c>
      <c r="C456">
        <v>1</v>
      </c>
      <c r="D456">
        <v>1</v>
      </c>
      <c r="E456" t="s">
        <v>14</v>
      </c>
      <c r="F456">
        <v>1</v>
      </c>
      <c r="G456">
        <v>0</v>
      </c>
      <c r="H456">
        <v>2</v>
      </c>
    </row>
    <row r="457" spans="1:8" x14ac:dyDescent="0.3">
      <c r="A457">
        <v>3</v>
      </c>
      <c r="B457">
        <v>0</v>
      </c>
      <c r="C457">
        <v>2</v>
      </c>
      <c r="D457">
        <v>1</v>
      </c>
      <c r="E457" t="s">
        <v>14</v>
      </c>
      <c r="F457">
        <v>1</v>
      </c>
      <c r="G457">
        <v>0</v>
      </c>
      <c r="H457">
        <v>2</v>
      </c>
    </row>
    <row r="458" spans="1:8" x14ac:dyDescent="0.3">
      <c r="A458">
        <v>3</v>
      </c>
      <c r="B458">
        <v>1</v>
      </c>
      <c r="C458">
        <v>1</v>
      </c>
      <c r="D458">
        <v>1</v>
      </c>
      <c r="E458" t="s">
        <v>14</v>
      </c>
      <c r="F458">
        <v>1</v>
      </c>
      <c r="G458">
        <v>0</v>
      </c>
      <c r="H458">
        <v>2</v>
      </c>
    </row>
    <row r="459" spans="1:8" x14ac:dyDescent="0.3">
      <c r="A459">
        <v>3</v>
      </c>
      <c r="B459">
        <v>0</v>
      </c>
      <c r="C459">
        <v>2</v>
      </c>
      <c r="D459">
        <v>1</v>
      </c>
      <c r="E459" t="s">
        <v>14</v>
      </c>
      <c r="F459">
        <v>2</v>
      </c>
      <c r="G459">
        <v>1</v>
      </c>
      <c r="H459">
        <v>0</v>
      </c>
    </row>
    <row r="460" spans="1:8" x14ac:dyDescent="0.3">
      <c r="A460">
        <v>3</v>
      </c>
      <c r="B460">
        <v>1</v>
      </c>
      <c r="C460">
        <v>1</v>
      </c>
      <c r="D460">
        <v>1</v>
      </c>
      <c r="E460" t="s">
        <v>14</v>
      </c>
      <c r="F460">
        <v>0</v>
      </c>
      <c r="G460">
        <v>2</v>
      </c>
      <c r="H460">
        <v>1</v>
      </c>
    </row>
    <row r="461" spans="1:8" x14ac:dyDescent="0.3">
      <c r="A461">
        <v>3</v>
      </c>
      <c r="B461">
        <v>1</v>
      </c>
      <c r="C461">
        <v>1</v>
      </c>
      <c r="D461">
        <v>1</v>
      </c>
      <c r="E461" t="s">
        <v>14</v>
      </c>
      <c r="F461">
        <v>1</v>
      </c>
      <c r="G461">
        <v>1</v>
      </c>
      <c r="H461">
        <v>1</v>
      </c>
    </row>
    <row r="462" spans="1:8" x14ac:dyDescent="0.3">
      <c r="A462">
        <v>3</v>
      </c>
      <c r="B462">
        <v>2</v>
      </c>
      <c r="C462">
        <v>1</v>
      </c>
      <c r="D462">
        <v>0</v>
      </c>
      <c r="E462" t="s">
        <v>14</v>
      </c>
      <c r="F462">
        <v>2</v>
      </c>
      <c r="G462">
        <v>1</v>
      </c>
      <c r="H462">
        <v>0</v>
      </c>
    </row>
    <row r="463" spans="1:8" x14ac:dyDescent="0.3">
      <c r="A463">
        <v>3</v>
      </c>
      <c r="B463">
        <v>1</v>
      </c>
      <c r="C463">
        <v>1</v>
      </c>
      <c r="D463">
        <v>1</v>
      </c>
      <c r="E463" t="s">
        <v>14</v>
      </c>
      <c r="F463">
        <v>2</v>
      </c>
      <c r="G463">
        <v>1</v>
      </c>
      <c r="H463">
        <v>0</v>
      </c>
    </row>
    <row r="464" spans="1:8" x14ac:dyDescent="0.3">
      <c r="A464">
        <v>3</v>
      </c>
      <c r="B464">
        <v>1</v>
      </c>
      <c r="C464">
        <v>1</v>
      </c>
      <c r="D464">
        <v>1</v>
      </c>
      <c r="E464" t="s">
        <v>14</v>
      </c>
      <c r="F464">
        <v>1</v>
      </c>
      <c r="G464">
        <v>1</v>
      </c>
      <c r="H464">
        <v>1</v>
      </c>
    </row>
    <row r="465" spans="1:8" x14ac:dyDescent="0.3">
      <c r="A465">
        <v>3</v>
      </c>
      <c r="B465">
        <v>1</v>
      </c>
      <c r="C465">
        <v>1</v>
      </c>
      <c r="D465">
        <v>1</v>
      </c>
      <c r="E465" t="s">
        <v>14</v>
      </c>
      <c r="F465">
        <v>1</v>
      </c>
      <c r="G465">
        <v>1</v>
      </c>
      <c r="H465">
        <v>1</v>
      </c>
    </row>
    <row r="466" spans="1:8" x14ac:dyDescent="0.3">
      <c r="A466">
        <v>3</v>
      </c>
      <c r="B466">
        <v>1</v>
      </c>
      <c r="C466">
        <v>1</v>
      </c>
      <c r="D466">
        <v>1</v>
      </c>
      <c r="E466" t="s">
        <v>14</v>
      </c>
      <c r="F466">
        <v>1</v>
      </c>
      <c r="G466">
        <v>0</v>
      </c>
      <c r="H466">
        <v>2</v>
      </c>
    </row>
    <row r="467" spans="1:8" x14ac:dyDescent="0.3">
      <c r="A467">
        <v>3</v>
      </c>
      <c r="B467">
        <v>1</v>
      </c>
      <c r="C467">
        <v>1</v>
      </c>
      <c r="D467">
        <v>1</v>
      </c>
      <c r="E467" t="s">
        <v>14</v>
      </c>
      <c r="F467">
        <v>1</v>
      </c>
      <c r="G467">
        <v>1</v>
      </c>
      <c r="H467">
        <v>1</v>
      </c>
    </row>
    <row r="468" spans="1:8" x14ac:dyDescent="0.3">
      <c r="A468">
        <v>4</v>
      </c>
      <c r="B468">
        <v>1</v>
      </c>
      <c r="C468">
        <v>1</v>
      </c>
      <c r="D468">
        <v>2</v>
      </c>
      <c r="E468" t="s">
        <v>14</v>
      </c>
      <c r="F468">
        <v>0</v>
      </c>
      <c r="G468">
        <v>2</v>
      </c>
      <c r="H468">
        <v>2</v>
      </c>
    </row>
    <row r="469" spans="1:8" x14ac:dyDescent="0.3">
      <c r="A469">
        <v>4</v>
      </c>
      <c r="B469">
        <v>2</v>
      </c>
      <c r="C469">
        <v>1</v>
      </c>
      <c r="D469">
        <v>1</v>
      </c>
      <c r="E469" t="s">
        <v>14</v>
      </c>
      <c r="F469">
        <v>2</v>
      </c>
      <c r="G469">
        <v>1</v>
      </c>
      <c r="H469">
        <v>1</v>
      </c>
    </row>
    <row r="470" spans="1:8" x14ac:dyDescent="0.3">
      <c r="A470">
        <v>4</v>
      </c>
      <c r="B470">
        <v>1</v>
      </c>
      <c r="C470">
        <v>2</v>
      </c>
      <c r="D470">
        <v>1</v>
      </c>
      <c r="E470" t="s">
        <v>14</v>
      </c>
      <c r="F470">
        <v>1</v>
      </c>
      <c r="G470">
        <v>2</v>
      </c>
      <c r="H470">
        <v>1</v>
      </c>
    </row>
    <row r="471" spans="1:8" x14ac:dyDescent="0.3">
      <c r="A471">
        <v>4</v>
      </c>
      <c r="B471">
        <v>1</v>
      </c>
      <c r="C471">
        <v>1</v>
      </c>
      <c r="D471">
        <v>2</v>
      </c>
      <c r="E471" t="s">
        <v>14</v>
      </c>
      <c r="F471">
        <v>1</v>
      </c>
      <c r="G471">
        <v>1</v>
      </c>
      <c r="H471">
        <v>2</v>
      </c>
    </row>
    <row r="472" spans="1:8" x14ac:dyDescent="0.3">
      <c r="A472">
        <v>4</v>
      </c>
      <c r="B472">
        <v>2</v>
      </c>
      <c r="C472">
        <v>1</v>
      </c>
      <c r="D472">
        <v>1</v>
      </c>
      <c r="E472" t="s">
        <v>14</v>
      </c>
      <c r="F472">
        <v>0</v>
      </c>
      <c r="G472">
        <v>2</v>
      </c>
      <c r="H472">
        <v>2</v>
      </c>
    </row>
    <row r="473" spans="1:8" x14ac:dyDescent="0.3">
      <c r="A473">
        <v>4</v>
      </c>
      <c r="B473">
        <v>1</v>
      </c>
      <c r="C473">
        <v>1</v>
      </c>
      <c r="D473">
        <v>2</v>
      </c>
      <c r="E473" t="s">
        <v>14</v>
      </c>
      <c r="F473">
        <v>1</v>
      </c>
      <c r="G473">
        <v>1</v>
      </c>
      <c r="H473">
        <v>2</v>
      </c>
    </row>
    <row r="474" spans="1:8" x14ac:dyDescent="0.3">
      <c r="A474">
        <v>5</v>
      </c>
      <c r="B474">
        <v>2</v>
      </c>
      <c r="C474">
        <v>2</v>
      </c>
      <c r="D474">
        <v>1</v>
      </c>
      <c r="E474" t="s">
        <v>14</v>
      </c>
      <c r="F474">
        <v>2</v>
      </c>
      <c r="G474">
        <v>2</v>
      </c>
      <c r="H474">
        <v>1</v>
      </c>
    </row>
    <row r="475" spans="1:8" x14ac:dyDescent="0.3">
      <c r="A475">
        <v>5</v>
      </c>
      <c r="B475">
        <v>2</v>
      </c>
      <c r="C475">
        <v>1</v>
      </c>
      <c r="D475">
        <v>2</v>
      </c>
      <c r="E475" t="s">
        <v>14</v>
      </c>
      <c r="F475">
        <v>2</v>
      </c>
      <c r="G475">
        <v>1</v>
      </c>
      <c r="H475">
        <v>2</v>
      </c>
    </row>
    <row r="476" spans="1:8" x14ac:dyDescent="0.3">
      <c r="A476">
        <v>5</v>
      </c>
      <c r="B476">
        <v>1</v>
      </c>
      <c r="C476">
        <v>2</v>
      </c>
      <c r="D476">
        <v>2</v>
      </c>
      <c r="E476" t="s">
        <v>14</v>
      </c>
      <c r="F476">
        <v>3</v>
      </c>
      <c r="G476">
        <v>0</v>
      </c>
      <c r="H476">
        <v>2</v>
      </c>
    </row>
    <row r="477" spans="1:8" x14ac:dyDescent="0.3">
      <c r="A477">
        <v>5</v>
      </c>
      <c r="B477">
        <v>1</v>
      </c>
      <c r="C477">
        <v>2</v>
      </c>
      <c r="D477">
        <v>2</v>
      </c>
      <c r="E477" t="s">
        <v>14</v>
      </c>
      <c r="F477">
        <v>3</v>
      </c>
      <c r="G477">
        <v>0</v>
      </c>
      <c r="H477">
        <v>2</v>
      </c>
    </row>
    <row r="478" spans="1:8" x14ac:dyDescent="0.3">
      <c r="A478">
        <v>5</v>
      </c>
      <c r="B478">
        <v>2</v>
      </c>
      <c r="C478">
        <v>2</v>
      </c>
      <c r="D478">
        <v>1</v>
      </c>
      <c r="E478" t="s">
        <v>14</v>
      </c>
      <c r="F478">
        <v>2</v>
      </c>
      <c r="G478">
        <v>2</v>
      </c>
      <c r="H478">
        <v>1</v>
      </c>
    </row>
    <row r="479" spans="1:8" x14ac:dyDescent="0.3">
      <c r="A479">
        <v>5</v>
      </c>
      <c r="B479">
        <v>2</v>
      </c>
      <c r="C479">
        <v>1</v>
      </c>
      <c r="D479">
        <v>2</v>
      </c>
      <c r="E479" t="s">
        <v>14</v>
      </c>
      <c r="F479">
        <v>2</v>
      </c>
      <c r="G479">
        <v>1</v>
      </c>
      <c r="H479">
        <v>2</v>
      </c>
    </row>
    <row r="480" spans="1:8" x14ac:dyDescent="0.3">
      <c r="A480">
        <v>5</v>
      </c>
      <c r="B480">
        <v>2</v>
      </c>
      <c r="C480">
        <v>1</v>
      </c>
      <c r="D480">
        <v>2</v>
      </c>
      <c r="E480" t="s">
        <v>14</v>
      </c>
      <c r="F480">
        <v>2</v>
      </c>
      <c r="G480">
        <v>3</v>
      </c>
      <c r="H480">
        <v>0</v>
      </c>
    </row>
    <row r="481" spans="1:8" x14ac:dyDescent="0.3">
      <c r="A481">
        <v>5</v>
      </c>
      <c r="B481">
        <v>2</v>
      </c>
      <c r="C481">
        <v>2</v>
      </c>
      <c r="D481">
        <v>1</v>
      </c>
      <c r="E481" t="s">
        <v>14</v>
      </c>
      <c r="F481">
        <v>2</v>
      </c>
      <c r="G481">
        <v>2</v>
      </c>
      <c r="H481">
        <v>1</v>
      </c>
    </row>
    <row r="482" spans="1:8" x14ac:dyDescent="0.3">
      <c r="A482">
        <v>5</v>
      </c>
      <c r="B482">
        <v>1</v>
      </c>
      <c r="C482">
        <v>2</v>
      </c>
      <c r="D482">
        <v>2</v>
      </c>
      <c r="E482" t="s">
        <v>14</v>
      </c>
      <c r="F482">
        <v>3</v>
      </c>
      <c r="G482">
        <v>0</v>
      </c>
      <c r="H482">
        <v>2</v>
      </c>
    </row>
    <row r="483" spans="1:8" x14ac:dyDescent="0.3">
      <c r="A483">
        <v>5</v>
      </c>
      <c r="B483">
        <v>2</v>
      </c>
      <c r="C483">
        <v>2</v>
      </c>
      <c r="D483">
        <v>1</v>
      </c>
      <c r="E483" t="s">
        <v>14</v>
      </c>
      <c r="F483">
        <v>3</v>
      </c>
      <c r="G483">
        <v>0</v>
      </c>
      <c r="H483">
        <v>2</v>
      </c>
    </row>
    <row r="484" spans="1:8" x14ac:dyDescent="0.3">
      <c r="A484">
        <v>5</v>
      </c>
      <c r="B484">
        <v>2</v>
      </c>
      <c r="C484">
        <v>2</v>
      </c>
      <c r="D484">
        <v>1</v>
      </c>
      <c r="E484" t="s">
        <v>14</v>
      </c>
      <c r="F484">
        <v>2</v>
      </c>
      <c r="G484">
        <v>2</v>
      </c>
      <c r="H484">
        <v>1</v>
      </c>
    </row>
    <row r="485" spans="1:8" x14ac:dyDescent="0.3">
      <c r="A485">
        <v>6</v>
      </c>
      <c r="B485">
        <v>3</v>
      </c>
      <c r="C485">
        <v>1</v>
      </c>
      <c r="D485">
        <v>2</v>
      </c>
      <c r="E485" t="s">
        <v>14</v>
      </c>
      <c r="F485">
        <v>3</v>
      </c>
      <c r="G485">
        <v>1</v>
      </c>
      <c r="H485">
        <v>2</v>
      </c>
    </row>
    <row r="486" spans="1:8" x14ac:dyDescent="0.3">
      <c r="A486">
        <v>6</v>
      </c>
      <c r="B486">
        <v>2</v>
      </c>
      <c r="C486">
        <v>3</v>
      </c>
      <c r="D486">
        <v>1</v>
      </c>
      <c r="E486" t="s">
        <v>14</v>
      </c>
      <c r="F486">
        <v>2</v>
      </c>
      <c r="G486">
        <v>3</v>
      </c>
      <c r="H486">
        <v>1</v>
      </c>
    </row>
    <row r="487" spans="1:8" x14ac:dyDescent="0.3">
      <c r="A487">
        <v>6</v>
      </c>
      <c r="B487">
        <v>2</v>
      </c>
      <c r="C487">
        <v>2</v>
      </c>
      <c r="D487">
        <v>2</v>
      </c>
      <c r="E487" t="s">
        <v>14</v>
      </c>
      <c r="F487">
        <v>2</v>
      </c>
      <c r="G487">
        <v>2</v>
      </c>
      <c r="H487">
        <v>2</v>
      </c>
    </row>
    <row r="488" spans="1:8" x14ac:dyDescent="0.3">
      <c r="A488">
        <v>6</v>
      </c>
      <c r="B488">
        <v>2</v>
      </c>
      <c r="C488">
        <v>2</v>
      </c>
      <c r="D488">
        <v>2</v>
      </c>
      <c r="E488" t="s">
        <v>14</v>
      </c>
      <c r="F488">
        <v>2</v>
      </c>
      <c r="G488">
        <v>2</v>
      </c>
      <c r="H488">
        <v>2</v>
      </c>
    </row>
    <row r="489" spans="1:8" x14ac:dyDescent="0.3">
      <c r="A489">
        <v>8</v>
      </c>
      <c r="B489">
        <v>2</v>
      </c>
      <c r="C489">
        <v>3</v>
      </c>
      <c r="D489">
        <v>3</v>
      </c>
      <c r="E489" t="s">
        <v>14</v>
      </c>
      <c r="F489">
        <v>2</v>
      </c>
      <c r="G489">
        <v>3</v>
      </c>
      <c r="H489">
        <v>3</v>
      </c>
    </row>
    <row r="490" spans="1:8" x14ac:dyDescent="0.3">
      <c r="A490">
        <v>8</v>
      </c>
      <c r="B490">
        <v>3</v>
      </c>
      <c r="C490">
        <v>2</v>
      </c>
      <c r="D490">
        <v>3</v>
      </c>
      <c r="E490" t="s">
        <v>14</v>
      </c>
      <c r="F490">
        <v>3</v>
      </c>
      <c r="G490">
        <v>2</v>
      </c>
      <c r="H490">
        <v>3</v>
      </c>
    </row>
    <row r="491" spans="1:8" x14ac:dyDescent="0.3">
      <c r="A491">
        <v>2</v>
      </c>
      <c r="B491">
        <v>0</v>
      </c>
      <c r="C491">
        <v>1</v>
      </c>
      <c r="D491">
        <v>1</v>
      </c>
      <c r="E491" t="s">
        <v>14</v>
      </c>
      <c r="F491">
        <v>0</v>
      </c>
      <c r="G491">
        <v>0</v>
      </c>
      <c r="H491">
        <v>2</v>
      </c>
    </row>
    <row r="492" spans="1:8" x14ac:dyDescent="0.3">
      <c r="A492">
        <v>2</v>
      </c>
      <c r="B492">
        <v>1</v>
      </c>
      <c r="C492">
        <v>0</v>
      </c>
      <c r="D492">
        <v>1</v>
      </c>
      <c r="E492" t="s">
        <v>14</v>
      </c>
      <c r="F492">
        <v>2</v>
      </c>
      <c r="G492">
        <v>0</v>
      </c>
      <c r="H492">
        <v>0</v>
      </c>
    </row>
    <row r="493" spans="1:8" x14ac:dyDescent="0.3">
      <c r="A493">
        <v>2</v>
      </c>
      <c r="B493">
        <v>1</v>
      </c>
      <c r="C493">
        <v>1</v>
      </c>
      <c r="D493">
        <v>0</v>
      </c>
      <c r="E493" t="s">
        <v>14</v>
      </c>
      <c r="F493">
        <v>0</v>
      </c>
      <c r="G493">
        <v>0</v>
      </c>
      <c r="H493">
        <v>2</v>
      </c>
    </row>
    <row r="494" spans="1:8" x14ac:dyDescent="0.3">
      <c r="A494">
        <v>2</v>
      </c>
      <c r="B494">
        <v>0</v>
      </c>
      <c r="C494">
        <v>1</v>
      </c>
      <c r="D494">
        <v>1</v>
      </c>
      <c r="E494" t="s">
        <v>14</v>
      </c>
      <c r="F494">
        <v>0</v>
      </c>
      <c r="G494">
        <v>1</v>
      </c>
      <c r="H494">
        <v>1</v>
      </c>
    </row>
    <row r="495" spans="1:8" x14ac:dyDescent="0.3">
      <c r="A495">
        <v>2</v>
      </c>
      <c r="B495">
        <v>1</v>
      </c>
      <c r="C495">
        <v>0</v>
      </c>
      <c r="D495">
        <v>1</v>
      </c>
      <c r="E495" t="s">
        <v>14</v>
      </c>
      <c r="F495">
        <v>1</v>
      </c>
      <c r="G495">
        <v>0</v>
      </c>
      <c r="H495">
        <v>1</v>
      </c>
    </row>
    <row r="496" spans="1:8" x14ac:dyDescent="0.3">
      <c r="A496">
        <v>2</v>
      </c>
      <c r="B496">
        <v>0</v>
      </c>
      <c r="C496">
        <v>1</v>
      </c>
      <c r="D496">
        <v>1</v>
      </c>
      <c r="E496" t="s">
        <v>14</v>
      </c>
      <c r="F496">
        <v>0</v>
      </c>
      <c r="G496">
        <v>1</v>
      </c>
      <c r="H496">
        <v>1</v>
      </c>
    </row>
    <row r="497" spans="1:8" x14ac:dyDescent="0.3">
      <c r="A497">
        <v>2</v>
      </c>
      <c r="B497">
        <v>1</v>
      </c>
      <c r="C497">
        <v>0</v>
      </c>
      <c r="D497">
        <v>1</v>
      </c>
      <c r="E497" t="s">
        <v>14</v>
      </c>
      <c r="F497">
        <v>2</v>
      </c>
      <c r="G497">
        <v>0</v>
      </c>
      <c r="H497">
        <v>0</v>
      </c>
    </row>
    <row r="498" spans="1:8" x14ac:dyDescent="0.3">
      <c r="A498">
        <v>2</v>
      </c>
      <c r="B498">
        <v>1</v>
      </c>
      <c r="C498">
        <v>1</v>
      </c>
      <c r="D498">
        <v>0</v>
      </c>
      <c r="E498" t="s">
        <v>14</v>
      </c>
      <c r="F498">
        <v>0</v>
      </c>
      <c r="G498">
        <v>0</v>
      </c>
      <c r="H498">
        <v>2</v>
      </c>
    </row>
    <row r="499" spans="1:8" x14ac:dyDescent="0.3">
      <c r="A499">
        <v>3</v>
      </c>
      <c r="B499">
        <v>1</v>
      </c>
      <c r="C499">
        <v>0</v>
      </c>
      <c r="D499">
        <v>2</v>
      </c>
      <c r="E499" t="s">
        <v>14</v>
      </c>
      <c r="F499">
        <v>1</v>
      </c>
      <c r="G499">
        <v>0</v>
      </c>
      <c r="H499">
        <v>2</v>
      </c>
    </row>
    <row r="500" spans="1:8" x14ac:dyDescent="0.3">
      <c r="A500">
        <v>3</v>
      </c>
      <c r="B500">
        <v>1</v>
      </c>
      <c r="C500">
        <v>1</v>
      </c>
      <c r="D500">
        <v>1</v>
      </c>
      <c r="E500" t="s">
        <v>14</v>
      </c>
      <c r="F500">
        <v>1</v>
      </c>
      <c r="G500">
        <v>1</v>
      </c>
      <c r="H500">
        <v>1</v>
      </c>
    </row>
    <row r="501" spans="1:8" x14ac:dyDescent="0.3">
      <c r="A501">
        <v>3</v>
      </c>
      <c r="B501">
        <v>1</v>
      </c>
      <c r="C501">
        <v>1</v>
      </c>
      <c r="D501">
        <v>1</v>
      </c>
      <c r="E501" t="s">
        <v>14</v>
      </c>
      <c r="F501">
        <v>1</v>
      </c>
      <c r="G501">
        <v>0</v>
      </c>
      <c r="H501">
        <v>2</v>
      </c>
    </row>
    <row r="502" spans="1:8" x14ac:dyDescent="0.3">
      <c r="A502">
        <v>3</v>
      </c>
      <c r="B502">
        <v>1</v>
      </c>
      <c r="C502">
        <v>1</v>
      </c>
      <c r="D502">
        <v>1</v>
      </c>
      <c r="E502" t="s">
        <v>14</v>
      </c>
      <c r="F502">
        <v>1</v>
      </c>
      <c r="G502">
        <v>1</v>
      </c>
      <c r="H502">
        <v>1</v>
      </c>
    </row>
    <row r="503" spans="1:8" x14ac:dyDescent="0.3">
      <c r="A503">
        <v>3</v>
      </c>
      <c r="B503">
        <v>1</v>
      </c>
      <c r="C503">
        <v>1</v>
      </c>
      <c r="D503">
        <v>1</v>
      </c>
      <c r="E503" t="s">
        <v>14</v>
      </c>
      <c r="F503">
        <v>1</v>
      </c>
      <c r="G503">
        <v>1</v>
      </c>
      <c r="H503">
        <v>1</v>
      </c>
    </row>
    <row r="504" spans="1:8" x14ac:dyDescent="0.3">
      <c r="A504">
        <v>3</v>
      </c>
      <c r="B504">
        <v>1</v>
      </c>
      <c r="C504">
        <v>1</v>
      </c>
      <c r="D504">
        <v>1</v>
      </c>
      <c r="E504" t="s">
        <v>14</v>
      </c>
      <c r="F504">
        <v>1</v>
      </c>
      <c r="G504">
        <v>1</v>
      </c>
      <c r="H504">
        <v>1</v>
      </c>
    </row>
    <row r="505" spans="1:8" x14ac:dyDescent="0.3">
      <c r="A505">
        <v>3</v>
      </c>
      <c r="B505">
        <v>1</v>
      </c>
      <c r="C505">
        <v>1</v>
      </c>
      <c r="D505">
        <v>1</v>
      </c>
      <c r="E505" t="s">
        <v>14</v>
      </c>
      <c r="F505">
        <v>1</v>
      </c>
      <c r="G505">
        <v>1</v>
      </c>
      <c r="H505">
        <v>1</v>
      </c>
    </row>
    <row r="506" spans="1:8" x14ac:dyDescent="0.3">
      <c r="A506">
        <v>3</v>
      </c>
      <c r="B506">
        <v>1</v>
      </c>
      <c r="C506">
        <v>1</v>
      </c>
      <c r="D506">
        <v>1</v>
      </c>
      <c r="E506" t="s">
        <v>14</v>
      </c>
      <c r="F506">
        <v>1</v>
      </c>
      <c r="G506">
        <v>1</v>
      </c>
      <c r="H506">
        <v>1</v>
      </c>
    </row>
    <row r="507" spans="1:8" x14ac:dyDescent="0.3">
      <c r="A507">
        <v>3</v>
      </c>
      <c r="B507">
        <v>1</v>
      </c>
      <c r="C507">
        <v>1</v>
      </c>
      <c r="D507">
        <v>1</v>
      </c>
      <c r="E507" t="s">
        <v>14</v>
      </c>
      <c r="F507">
        <v>2</v>
      </c>
      <c r="G507">
        <v>1</v>
      </c>
      <c r="H507">
        <v>0</v>
      </c>
    </row>
    <row r="508" spans="1:8" x14ac:dyDescent="0.3">
      <c r="A508">
        <v>3</v>
      </c>
      <c r="B508">
        <v>1</v>
      </c>
      <c r="C508">
        <v>0</v>
      </c>
      <c r="D508">
        <v>2</v>
      </c>
      <c r="E508" t="s">
        <v>14</v>
      </c>
      <c r="F508">
        <v>1</v>
      </c>
      <c r="G508">
        <v>0</v>
      </c>
      <c r="H508">
        <v>2</v>
      </c>
    </row>
    <row r="509" spans="1:8" x14ac:dyDescent="0.3">
      <c r="A509">
        <v>3</v>
      </c>
      <c r="B509">
        <v>1</v>
      </c>
      <c r="C509">
        <v>1</v>
      </c>
      <c r="D509">
        <v>1</v>
      </c>
      <c r="E509" t="s">
        <v>14</v>
      </c>
      <c r="F509">
        <v>1</v>
      </c>
      <c r="G509">
        <v>0</v>
      </c>
      <c r="H509">
        <v>2</v>
      </c>
    </row>
    <row r="510" spans="1:8" x14ac:dyDescent="0.3">
      <c r="A510">
        <v>3</v>
      </c>
      <c r="B510">
        <v>2</v>
      </c>
      <c r="C510">
        <v>1</v>
      </c>
      <c r="D510">
        <v>0</v>
      </c>
      <c r="E510" t="s">
        <v>14</v>
      </c>
      <c r="F510">
        <v>2</v>
      </c>
      <c r="G510">
        <v>1</v>
      </c>
      <c r="H510">
        <v>0</v>
      </c>
    </row>
    <row r="511" spans="1:8" x14ac:dyDescent="0.3">
      <c r="A511">
        <v>3</v>
      </c>
      <c r="B511">
        <v>1</v>
      </c>
      <c r="C511">
        <v>1</v>
      </c>
      <c r="D511">
        <v>1</v>
      </c>
      <c r="E511" t="s">
        <v>14</v>
      </c>
      <c r="F511">
        <v>1</v>
      </c>
      <c r="G511">
        <v>1</v>
      </c>
      <c r="H511">
        <v>1</v>
      </c>
    </row>
    <row r="512" spans="1:8" x14ac:dyDescent="0.3">
      <c r="A512">
        <v>3</v>
      </c>
      <c r="B512">
        <v>1</v>
      </c>
      <c r="C512">
        <v>1</v>
      </c>
      <c r="D512">
        <v>1</v>
      </c>
      <c r="E512" t="s">
        <v>14</v>
      </c>
      <c r="F512">
        <v>1</v>
      </c>
      <c r="G512">
        <v>1</v>
      </c>
      <c r="H512">
        <v>1</v>
      </c>
    </row>
    <row r="513" spans="1:8" x14ac:dyDescent="0.3">
      <c r="A513">
        <v>3</v>
      </c>
      <c r="B513">
        <v>0</v>
      </c>
      <c r="C513">
        <v>2</v>
      </c>
      <c r="D513">
        <v>1</v>
      </c>
      <c r="E513" t="s">
        <v>14</v>
      </c>
      <c r="F513">
        <v>1</v>
      </c>
      <c r="G513">
        <v>0</v>
      </c>
      <c r="H513">
        <v>2</v>
      </c>
    </row>
    <row r="514" spans="1:8" x14ac:dyDescent="0.3">
      <c r="A514">
        <v>3</v>
      </c>
      <c r="B514">
        <v>1</v>
      </c>
      <c r="C514">
        <v>1</v>
      </c>
      <c r="D514">
        <v>1</v>
      </c>
      <c r="E514" t="s">
        <v>14</v>
      </c>
      <c r="F514">
        <v>1</v>
      </c>
      <c r="G514">
        <v>1</v>
      </c>
      <c r="H514">
        <v>1</v>
      </c>
    </row>
    <row r="515" spans="1:8" x14ac:dyDescent="0.3">
      <c r="A515">
        <v>3</v>
      </c>
      <c r="B515">
        <v>1</v>
      </c>
      <c r="C515">
        <v>1</v>
      </c>
      <c r="D515">
        <v>1</v>
      </c>
      <c r="E515" t="s">
        <v>14</v>
      </c>
      <c r="F515">
        <v>2</v>
      </c>
      <c r="G515">
        <v>1</v>
      </c>
      <c r="H515">
        <v>0</v>
      </c>
    </row>
    <row r="516" spans="1:8" x14ac:dyDescent="0.3">
      <c r="A516">
        <v>3</v>
      </c>
      <c r="B516">
        <v>0</v>
      </c>
      <c r="C516">
        <v>2</v>
      </c>
      <c r="D516">
        <v>1</v>
      </c>
      <c r="E516" t="s">
        <v>14</v>
      </c>
      <c r="F516">
        <v>0</v>
      </c>
      <c r="G516">
        <v>2</v>
      </c>
      <c r="H516">
        <v>1</v>
      </c>
    </row>
    <row r="517" spans="1:8" x14ac:dyDescent="0.3">
      <c r="A517">
        <v>3</v>
      </c>
      <c r="B517">
        <v>1</v>
      </c>
      <c r="C517">
        <v>1</v>
      </c>
      <c r="D517">
        <v>1</v>
      </c>
      <c r="E517" t="s">
        <v>14</v>
      </c>
      <c r="F517">
        <v>1</v>
      </c>
      <c r="G517">
        <v>1</v>
      </c>
      <c r="H517">
        <v>1</v>
      </c>
    </row>
    <row r="518" spans="1:8" x14ac:dyDescent="0.3">
      <c r="A518">
        <v>3</v>
      </c>
      <c r="B518">
        <v>1</v>
      </c>
      <c r="C518">
        <v>1</v>
      </c>
      <c r="D518">
        <v>1</v>
      </c>
      <c r="E518" t="s">
        <v>14</v>
      </c>
      <c r="F518">
        <v>1</v>
      </c>
      <c r="G518">
        <v>0</v>
      </c>
      <c r="H518">
        <v>2</v>
      </c>
    </row>
    <row r="519" spans="1:8" x14ac:dyDescent="0.3">
      <c r="A519">
        <v>3</v>
      </c>
      <c r="B519">
        <v>1</v>
      </c>
      <c r="C519">
        <v>1</v>
      </c>
      <c r="D519">
        <v>1</v>
      </c>
      <c r="E519" t="s">
        <v>14</v>
      </c>
      <c r="F519">
        <v>1</v>
      </c>
      <c r="G519">
        <v>1</v>
      </c>
      <c r="H519">
        <v>1</v>
      </c>
    </row>
    <row r="520" spans="1:8" x14ac:dyDescent="0.3">
      <c r="A520">
        <v>3</v>
      </c>
      <c r="B520">
        <v>1</v>
      </c>
      <c r="C520">
        <v>0</v>
      </c>
      <c r="D520">
        <v>2</v>
      </c>
      <c r="E520" t="s">
        <v>14</v>
      </c>
      <c r="F520">
        <v>1</v>
      </c>
      <c r="G520">
        <v>0</v>
      </c>
      <c r="H520">
        <v>2</v>
      </c>
    </row>
    <row r="521" spans="1:8" x14ac:dyDescent="0.3">
      <c r="A521">
        <v>3</v>
      </c>
      <c r="B521">
        <v>1</v>
      </c>
      <c r="C521">
        <v>0</v>
      </c>
      <c r="D521">
        <v>2</v>
      </c>
      <c r="E521" t="s">
        <v>14</v>
      </c>
      <c r="F521">
        <v>2</v>
      </c>
      <c r="G521">
        <v>1</v>
      </c>
      <c r="H521">
        <v>0</v>
      </c>
    </row>
    <row r="522" spans="1:8" x14ac:dyDescent="0.3">
      <c r="A522">
        <v>3</v>
      </c>
      <c r="B522">
        <v>1</v>
      </c>
      <c r="C522">
        <v>1</v>
      </c>
      <c r="D522">
        <v>1</v>
      </c>
      <c r="E522" t="s">
        <v>14</v>
      </c>
      <c r="F522">
        <v>0</v>
      </c>
      <c r="G522">
        <v>2</v>
      </c>
      <c r="H522">
        <v>1</v>
      </c>
    </row>
    <row r="523" spans="1:8" x14ac:dyDescent="0.3">
      <c r="A523">
        <v>3</v>
      </c>
      <c r="B523">
        <v>1</v>
      </c>
      <c r="C523">
        <v>1</v>
      </c>
      <c r="D523">
        <v>1</v>
      </c>
      <c r="E523" t="s">
        <v>14</v>
      </c>
      <c r="F523">
        <v>1</v>
      </c>
      <c r="G523">
        <v>0</v>
      </c>
      <c r="H523">
        <v>2</v>
      </c>
    </row>
    <row r="524" spans="1:8" x14ac:dyDescent="0.3">
      <c r="A524">
        <v>3</v>
      </c>
      <c r="B524">
        <v>0</v>
      </c>
      <c r="C524">
        <v>2</v>
      </c>
      <c r="D524">
        <v>1</v>
      </c>
      <c r="E524" t="s">
        <v>14</v>
      </c>
      <c r="F524">
        <v>0</v>
      </c>
      <c r="G524">
        <v>2</v>
      </c>
      <c r="H524">
        <v>1</v>
      </c>
    </row>
    <row r="525" spans="1:8" x14ac:dyDescent="0.3">
      <c r="A525">
        <v>3</v>
      </c>
      <c r="B525">
        <v>1</v>
      </c>
      <c r="C525">
        <v>1</v>
      </c>
      <c r="D525">
        <v>1</v>
      </c>
      <c r="E525" t="s">
        <v>14</v>
      </c>
      <c r="F525">
        <v>2</v>
      </c>
      <c r="G525">
        <v>1</v>
      </c>
      <c r="H525">
        <v>0</v>
      </c>
    </row>
    <row r="526" spans="1:8" x14ac:dyDescent="0.3">
      <c r="A526">
        <v>3</v>
      </c>
      <c r="B526">
        <v>1</v>
      </c>
      <c r="C526">
        <v>1</v>
      </c>
      <c r="D526">
        <v>1</v>
      </c>
      <c r="E526" t="s">
        <v>14</v>
      </c>
      <c r="F526">
        <v>1</v>
      </c>
      <c r="G526">
        <v>1</v>
      </c>
      <c r="H526">
        <v>1</v>
      </c>
    </row>
    <row r="527" spans="1:8" x14ac:dyDescent="0.3">
      <c r="A527">
        <v>3</v>
      </c>
      <c r="B527">
        <v>1</v>
      </c>
      <c r="C527">
        <v>1</v>
      </c>
      <c r="D527">
        <v>1</v>
      </c>
      <c r="E527" t="s">
        <v>14</v>
      </c>
      <c r="F527">
        <v>1</v>
      </c>
      <c r="G527">
        <v>1</v>
      </c>
      <c r="H527">
        <v>1</v>
      </c>
    </row>
    <row r="528" spans="1:8" x14ac:dyDescent="0.3">
      <c r="A528">
        <v>3</v>
      </c>
      <c r="B528">
        <v>1</v>
      </c>
      <c r="C528">
        <v>1</v>
      </c>
      <c r="D528">
        <v>1</v>
      </c>
      <c r="E528" t="s">
        <v>14</v>
      </c>
      <c r="F528">
        <v>1</v>
      </c>
      <c r="G528">
        <v>0</v>
      </c>
      <c r="H528">
        <v>2</v>
      </c>
    </row>
    <row r="529" spans="1:8" x14ac:dyDescent="0.3">
      <c r="A529">
        <v>3</v>
      </c>
      <c r="B529">
        <v>1</v>
      </c>
      <c r="C529">
        <v>1</v>
      </c>
      <c r="D529">
        <v>1</v>
      </c>
      <c r="E529" t="s">
        <v>14</v>
      </c>
      <c r="F529">
        <v>1</v>
      </c>
      <c r="G529">
        <v>1</v>
      </c>
      <c r="H529">
        <v>1</v>
      </c>
    </row>
    <row r="530" spans="1:8" x14ac:dyDescent="0.3">
      <c r="A530">
        <v>3</v>
      </c>
      <c r="B530">
        <v>1</v>
      </c>
      <c r="C530">
        <v>1</v>
      </c>
      <c r="D530">
        <v>1</v>
      </c>
      <c r="E530" t="s">
        <v>14</v>
      </c>
      <c r="F530">
        <v>1</v>
      </c>
      <c r="G530">
        <v>1</v>
      </c>
      <c r="H530">
        <v>1</v>
      </c>
    </row>
    <row r="531" spans="1:8" x14ac:dyDescent="0.3">
      <c r="A531">
        <v>3</v>
      </c>
      <c r="B531">
        <v>1</v>
      </c>
      <c r="C531">
        <v>1</v>
      </c>
      <c r="D531">
        <v>1</v>
      </c>
      <c r="E531" t="s">
        <v>14</v>
      </c>
      <c r="F531">
        <v>1</v>
      </c>
      <c r="G531">
        <v>1</v>
      </c>
      <c r="H531">
        <v>1</v>
      </c>
    </row>
    <row r="532" spans="1:8" x14ac:dyDescent="0.3">
      <c r="A532">
        <v>3</v>
      </c>
      <c r="B532">
        <v>1</v>
      </c>
      <c r="C532">
        <v>1</v>
      </c>
      <c r="D532">
        <v>1</v>
      </c>
      <c r="E532" t="s">
        <v>14</v>
      </c>
      <c r="F532">
        <v>1</v>
      </c>
      <c r="G532">
        <v>1</v>
      </c>
      <c r="H532">
        <v>1</v>
      </c>
    </row>
    <row r="533" spans="1:8" x14ac:dyDescent="0.3">
      <c r="A533">
        <v>3</v>
      </c>
      <c r="B533">
        <v>1</v>
      </c>
      <c r="C533">
        <v>1</v>
      </c>
      <c r="D533">
        <v>1</v>
      </c>
      <c r="E533" t="s">
        <v>14</v>
      </c>
      <c r="F533">
        <v>0</v>
      </c>
      <c r="G533">
        <v>2</v>
      </c>
      <c r="H533">
        <v>1</v>
      </c>
    </row>
    <row r="534" spans="1:8" x14ac:dyDescent="0.3">
      <c r="A534">
        <v>3</v>
      </c>
      <c r="B534">
        <v>1</v>
      </c>
      <c r="C534">
        <v>1</v>
      </c>
      <c r="D534">
        <v>1</v>
      </c>
      <c r="E534" t="s">
        <v>14</v>
      </c>
      <c r="F534">
        <v>1</v>
      </c>
      <c r="G534">
        <v>1</v>
      </c>
      <c r="H534">
        <v>1</v>
      </c>
    </row>
    <row r="535" spans="1:8" x14ac:dyDescent="0.3">
      <c r="A535">
        <v>3</v>
      </c>
      <c r="B535">
        <v>0</v>
      </c>
      <c r="C535">
        <v>2</v>
      </c>
      <c r="D535">
        <v>1</v>
      </c>
      <c r="E535" t="s">
        <v>14</v>
      </c>
      <c r="F535">
        <v>0</v>
      </c>
      <c r="G535">
        <v>2</v>
      </c>
      <c r="H535">
        <v>1</v>
      </c>
    </row>
    <row r="536" spans="1:8" x14ac:dyDescent="0.3">
      <c r="A536">
        <v>3</v>
      </c>
      <c r="B536">
        <v>1</v>
      </c>
      <c r="C536">
        <v>1</v>
      </c>
      <c r="D536">
        <v>1</v>
      </c>
      <c r="E536" t="s">
        <v>14</v>
      </c>
      <c r="F536">
        <v>1</v>
      </c>
      <c r="G536">
        <v>1</v>
      </c>
      <c r="H536">
        <v>1</v>
      </c>
    </row>
    <row r="537" spans="1:8" x14ac:dyDescent="0.3">
      <c r="A537">
        <v>3</v>
      </c>
      <c r="B537">
        <v>1</v>
      </c>
      <c r="C537">
        <v>1</v>
      </c>
      <c r="D537">
        <v>1</v>
      </c>
      <c r="E537" t="s">
        <v>14</v>
      </c>
      <c r="F537">
        <v>1</v>
      </c>
      <c r="G537">
        <v>1</v>
      </c>
      <c r="H537">
        <v>1</v>
      </c>
    </row>
    <row r="538" spans="1:8" x14ac:dyDescent="0.3">
      <c r="A538">
        <v>3</v>
      </c>
      <c r="B538">
        <v>1</v>
      </c>
      <c r="C538">
        <v>1</v>
      </c>
      <c r="D538">
        <v>1</v>
      </c>
      <c r="E538" t="s">
        <v>14</v>
      </c>
      <c r="F538">
        <v>1</v>
      </c>
      <c r="G538">
        <v>1</v>
      </c>
      <c r="H538">
        <v>1</v>
      </c>
    </row>
    <row r="539" spans="1:8" x14ac:dyDescent="0.3">
      <c r="A539">
        <v>3</v>
      </c>
      <c r="B539">
        <v>1</v>
      </c>
      <c r="C539">
        <v>1</v>
      </c>
      <c r="D539">
        <v>1</v>
      </c>
      <c r="E539" t="s">
        <v>14</v>
      </c>
      <c r="F539">
        <v>1</v>
      </c>
      <c r="G539">
        <v>1</v>
      </c>
      <c r="H539">
        <v>1</v>
      </c>
    </row>
    <row r="540" spans="1:8" x14ac:dyDescent="0.3">
      <c r="A540">
        <v>3</v>
      </c>
      <c r="B540">
        <v>1</v>
      </c>
      <c r="C540">
        <v>1</v>
      </c>
      <c r="D540">
        <v>1</v>
      </c>
      <c r="E540" t="s">
        <v>14</v>
      </c>
      <c r="F540">
        <v>2</v>
      </c>
      <c r="G540">
        <v>1</v>
      </c>
      <c r="H540">
        <v>0</v>
      </c>
    </row>
    <row r="541" spans="1:8" x14ac:dyDescent="0.3">
      <c r="A541">
        <v>3</v>
      </c>
      <c r="B541">
        <v>1</v>
      </c>
      <c r="C541">
        <v>1</v>
      </c>
      <c r="D541">
        <v>1</v>
      </c>
      <c r="E541" t="s">
        <v>14</v>
      </c>
      <c r="F541">
        <v>0</v>
      </c>
      <c r="G541">
        <v>2</v>
      </c>
      <c r="H541">
        <v>1</v>
      </c>
    </row>
    <row r="542" spans="1:8" x14ac:dyDescent="0.3">
      <c r="A542">
        <v>4</v>
      </c>
      <c r="B542">
        <v>1</v>
      </c>
      <c r="C542">
        <v>2</v>
      </c>
      <c r="D542">
        <v>1</v>
      </c>
      <c r="E542" t="s">
        <v>14</v>
      </c>
      <c r="F542">
        <v>1</v>
      </c>
      <c r="G542">
        <v>2</v>
      </c>
      <c r="H542">
        <v>1</v>
      </c>
    </row>
    <row r="543" spans="1:8" x14ac:dyDescent="0.3">
      <c r="A543">
        <v>4</v>
      </c>
      <c r="B543">
        <v>1</v>
      </c>
      <c r="C543">
        <v>2</v>
      </c>
      <c r="D543">
        <v>1</v>
      </c>
      <c r="E543" t="s">
        <v>14</v>
      </c>
      <c r="F543">
        <v>1</v>
      </c>
      <c r="G543">
        <v>2</v>
      </c>
      <c r="H543">
        <v>1</v>
      </c>
    </row>
    <row r="544" spans="1:8" x14ac:dyDescent="0.3">
      <c r="A544">
        <v>4</v>
      </c>
      <c r="B544">
        <v>1</v>
      </c>
      <c r="C544">
        <v>2</v>
      </c>
      <c r="D544">
        <v>1</v>
      </c>
      <c r="E544" t="s">
        <v>14</v>
      </c>
      <c r="F544">
        <v>1</v>
      </c>
      <c r="G544">
        <v>2</v>
      </c>
      <c r="H544">
        <v>1</v>
      </c>
    </row>
    <row r="545" spans="1:8" x14ac:dyDescent="0.3">
      <c r="A545">
        <v>4</v>
      </c>
      <c r="B545">
        <v>1</v>
      </c>
      <c r="C545">
        <v>2</v>
      </c>
      <c r="D545">
        <v>1</v>
      </c>
      <c r="E545" t="s">
        <v>14</v>
      </c>
      <c r="F545">
        <v>1</v>
      </c>
      <c r="G545">
        <v>2</v>
      </c>
      <c r="H545">
        <v>1</v>
      </c>
    </row>
    <row r="546" spans="1:8" x14ac:dyDescent="0.3">
      <c r="A546">
        <v>4</v>
      </c>
      <c r="B546">
        <v>2</v>
      </c>
      <c r="C546">
        <v>1</v>
      </c>
      <c r="D546">
        <v>1</v>
      </c>
      <c r="E546" t="s">
        <v>14</v>
      </c>
      <c r="F546">
        <v>0</v>
      </c>
      <c r="G546">
        <v>2</v>
      </c>
      <c r="H546">
        <v>2</v>
      </c>
    </row>
    <row r="547" spans="1:8" x14ac:dyDescent="0.3">
      <c r="A547">
        <v>4</v>
      </c>
      <c r="B547">
        <v>1</v>
      </c>
      <c r="C547">
        <v>1</v>
      </c>
      <c r="D547">
        <v>2</v>
      </c>
      <c r="E547" t="s">
        <v>14</v>
      </c>
      <c r="F547">
        <v>1</v>
      </c>
      <c r="G547">
        <v>1</v>
      </c>
      <c r="H547">
        <v>2</v>
      </c>
    </row>
    <row r="548" spans="1:8" x14ac:dyDescent="0.3">
      <c r="A548">
        <v>4</v>
      </c>
      <c r="B548">
        <v>1</v>
      </c>
      <c r="C548">
        <v>2</v>
      </c>
      <c r="D548">
        <v>1</v>
      </c>
      <c r="E548" t="s">
        <v>14</v>
      </c>
      <c r="F548">
        <v>1</v>
      </c>
      <c r="G548">
        <v>2</v>
      </c>
      <c r="H548">
        <v>1</v>
      </c>
    </row>
    <row r="549" spans="1:8" x14ac:dyDescent="0.3">
      <c r="A549">
        <v>4</v>
      </c>
      <c r="B549">
        <v>1</v>
      </c>
      <c r="C549">
        <v>2</v>
      </c>
      <c r="D549">
        <v>1</v>
      </c>
      <c r="E549" t="s">
        <v>14</v>
      </c>
      <c r="F549">
        <v>2</v>
      </c>
      <c r="G549">
        <v>0</v>
      </c>
      <c r="H549">
        <v>2</v>
      </c>
    </row>
    <row r="550" spans="1:8" x14ac:dyDescent="0.3">
      <c r="A550">
        <v>5</v>
      </c>
      <c r="B550">
        <v>2</v>
      </c>
      <c r="C550">
        <v>2</v>
      </c>
      <c r="D550">
        <v>1</v>
      </c>
      <c r="E550" t="s">
        <v>14</v>
      </c>
      <c r="F550">
        <v>3</v>
      </c>
      <c r="G550">
        <v>0</v>
      </c>
      <c r="H550">
        <v>2</v>
      </c>
    </row>
    <row r="551" spans="1:8" x14ac:dyDescent="0.3">
      <c r="A551">
        <v>6</v>
      </c>
      <c r="B551">
        <v>1</v>
      </c>
      <c r="C551">
        <v>2</v>
      </c>
      <c r="D551">
        <v>3</v>
      </c>
      <c r="E551" t="s">
        <v>14</v>
      </c>
      <c r="F551">
        <v>1</v>
      </c>
      <c r="G551">
        <v>2</v>
      </c>
      <c r="H551">
        <v>3</v>
      </c>
    </row>
    <row r="552" spans="1:8" x14ac:dyDescent="0.3">
      <c r="A552">
        <v>6</v>
      </c>
      <c r="B552">
        <v>2</v>
      </c>
      <c r="C552">
        <v>3</v>
      </c>
      <c r="D552">
        <v>1</v>
      </c>
      <c r="E552" t="s">
        <v>14</v>
      </c>
      <c r="F552">
        <v>2</v>
      </c>
      <c r="G552">
        <v>3</v>
      </c>
      <c r="H552">
        <v>1</v>
      </c>
    </row>
    <row r="553" spans="1:8" x14ac:dyDescent="0.3">
      <c r="A553">
        <v>6</v>
      </c>
      <c r="B553">
        <v>3</v>
      </c>
      <c r="C553">
        <v>1</v>
      </c>
      <c r="D553">
        <v>2</v>
      </c>
      <c r="E553" t="s">
        <v>14</v>
      </c>
      <c r="F553">
        <v>3</v>
      </c>
      <c r="G553">
        <v>1</v>
      </c>
      <c r="H553">
        <v>2</v>
      </c>
    </row>
    <row r="554" spans="1:8" x14ac:dyDescent="0.3">
      <c r="A554">
        <v>6</v>
      </c>
      <c r="B554">
        <v>1</v>
      </c>
      <c r="C554">
        <v>2</v>
      </c>
      <c r="D554">
        <v>3</v>
      </c>
      <c r="E554" t="s">
        <v>14</v>
      </c>
      <c r="F554">
        <v>1</v>
      </c>
      <c r="G554">
        <v>2</v>
      </c>
      <c r="H554">
        <v>3</v>
      </c>
    </row>
    <row r="555" spans="1:8" x14ac:dyDescent="0.3">
      <c r="A555">
        <v>6</v>
      </c>
      <c r="B555">
        <v>2</v>
      </c>
      <c r="C555">
        <v>2</v>
      </c>
      <c r="D555">
        <v>2</v>
      </c>
      <c r="E555" t="s">
        <v>14</v>
      </c>
      <c r="F555">
        <v>2</v>
      </c>
      <c r="G555">
        <v>2</v>
      </c>
      <c r="H555">
        <v>2</v>
      </c>
    </row>
    <row r="556" spans="1:8" x14ac:dyDescent="0.3">
      <c r="A556">
        <v>6</v>
      </c>
      <c r="B556">
        <v>2</v>
      </c>
      <c r="C556">
        <v>2</v>
      </c>
      <c r="D556">
        <v>2</v>
      </c>
      <c r="E556" t="s">
        <v>14</v>
      </c>
      <c r="F556">
        <v>2</v>
      </c>
      <c r="G556">
        <v>2</v>
      </c>
      <c r="H556">
        <v>2</v>
      </c>
    </row>
    <row r="557" spans="1:8" x14ac:dyDescent="0.3">
      <c r="A557">
        <v>7</v>
      </c>
      <c r="B557">
        <v>2</v>
      </c>
      <c r="C557">
        <v>2</v>
      </c>
      <c r="D557">
        <v>3</v>
      </c>
      <c r="E557" t="s">
        <v>14</v>
      </c>
      <c r="F557">
        <v>2</v>
      </c>
      <c r="G557">
        <v>2</v>
      </c>
      <c r="H557">
        <v>3</v>
      </c>
    </row>
    <row r="558" spans="1:8" x14ac:dyDescent="0.3">
      <c r="A558">
        <v>7</v>
      </c>
      <c r="B558">
        <v>2</v>
      </c>
      <c r="C558">
        <v>2</v>
      </c>
      <c r="D558">
        <v>3</v>
      </c>
      <c r="E558" t="s">
        <v>14</v>
      </c>
      <c r="F558">
        <v>2</v>
      </c>
      <c r="G558">
        <v>2</v>
      </c>
      <c r="H558">
        <v>3</v>
      </c>
    </row>
    <row r="559" spans="1:8" x14ac:dyDescent="0.3">
      <c r="A559">
        <v>7</v>
      </c>
      <c r="B559">
        <v>2</v>
      </c>
      <c r="C559">
        <v>2</v>
      </c>
      <c r="D559">
        <v>3</v>
      </c>
      <c r="E559" t="s">
        <v>14</v>
      </c>
      <c r="F559">
        <v>2</v>
      </c>
      <c r="G559">
        <v>2</v>
      </c>
      <c r="H559">
        <v>3</v>
      </c>
    </row>
    <row r="560" spans="1:8" x14ac:dyDescent="0.3">
      <c r="A560">
        <v>7</v>
      </c>
      <c r="B560">
        <v>3</v>
      </c>
      <c r="C560">
        <v>2</v>
      </c>
      <c r="D560">
        <v>2</v>
      </c>
      <c r="E560" t="s">
        <v>14</v>
      </c>
      <c r="F560">
        <v>3</v>
      </c>
      <c r="G560">
        <v>2</v>
      </c>
      <c r="H560">
        <v>2</v>
      </c>
    </row>
    <row r="561" spans="1:8" x14ac:dyDescent="0.3">
      <c r="A561">
        <v>2</v>
      </c>
      <c r="B561">
        <v>1</v>
      </c>
      <c r="C561">
        <v>0</v>
      </c>
      <c r="D561">
        <v>1</v>
      </c>
      <c r="E561" t="s">
        <v>14</v>
      </c>
      <c r="F561">
        <v>0</v>
      </c>
      <c r="G561">
        <v>2</v>
      </c>
      <c r="H561">
        <v>0</v>
      </c>
    </row>
    <row r="562" spans="1:8" x14ac:dyDescent="0.3">
      <c r="A562">
        <v>2</v>
      </c>
      <c r="B562">
        <v>1</v>
      </c>
      <c r="C562">
        <v>0</v>
      </c>
      <c r="D562">
        <v>1</v>
      </c>
      <c r="E562" t="s">
        <v>14</v>
      </c>
      <c r="F562">
        <v>0</v>
      </c>
      <c r="G562">
        <v>2</v>
      </c>
      <c r="H562">
        <v>0</v>
      </c>
    </row>
    <row r="563" spans="1:8" x14ac:dyDescent="0.3">
      <c r="A563">
        <v>2</v>
      </c>
      <c r="B563">
        <v>1</v>
      </c>
      <c r="C563">
        <v>0</v>
      </c>
      <c r="D563">
        <v>1</v>
      </c>
      <c r="E563" t="s">
        <v>14</v>
      </c>
      <c r="F563">
        <v>0</v>
      </c>
      <c r="G563">
        <v>0</v>
      </c>
      <c r="H563">
        <v>2</v>
      </c>
    </row>
    <row r="564" spans="1:8" x14ac:dyDescent="0.3">
      <c r="A564">
        <v>2</v>
      </c>
      <c r="B564">
        <v>1</v>
      </c>
      <c r="C564">
        <v>0</v>
      </c>
      <c r="D564">
        <v>1</v>
      </c>
      <c r="E564" t="s">
        <v>14</v>
      </c>
      <c r="F564">
        <v>0</v>
      </c>
      <c r="G564">
        <v>2</v>
      </c>
      <c r="H564">
        <v>0</v>
      </c>
    </row>
    <row r="565" spans="1:8" x14ac:dyDescent="0.3">
      <c r="A565">
        <v>3</v>
      </c>
      <c r="B565">
        <v>2</v>
      </c>
      <c r="C565">
        <v>1</v>
      </c>
      <c r="D565">
        <v>0</v>
      </c>
      <c r="E565" t="s">
        <v>14</v>
      </c>
      <c r="F565">
        <v>2</v>
      </c>
      <c r="G565">
        <v>1</v>
      </c>
      <c r="H565">
        <v>0</v>
      </c>
    </row>
    <row r="566" spans="1:8" x14ac:dyDescent="0.3">
      <c r="A566">
        <v>3</v>
      </c>
      <c r="B566">
        <v>0</v>
      </c>
      <c r="C566">
        <v>2</v>
      </c>
      <c r="D566">
        <v>1</v>
      </c>
      <c r="E566" t="s">
        <v>14</v>
      </c>
      <c r="F566">
        <v>0</v>
      </c>
      <c r="G566">
        <v>2</v>
      </c>
      <c r="H566">
        <v>1</v>
      </c>
    </row>
    <row r="567" spans="1:8" x14ac:dyDescent="0.3">
      <c r="A567">
        <v>3</v>
      </c>
      <c r="B567">
        <v>1</v>
      </c>
      <c r="C567">
        <v>1</v>
      </c>
      <c r="D567">
        <v>1</v>
      </c>
      <c r="E567" t="s">
        <v>14</v>
      </c>
      <c r="F567">
        <v>1</v>
      </c>
      <c r="G567">
        <v>0</v>
      </c>
      <c r="H567">
        <v>2</v>
      </c>
    </row>
    <row r="568" spans="1:8" x14ac:dyDescent="0.3">
      <c r="A568">
        <v>3</v>
      </c>
      <c r="B568">
        <v>0</v>
      </c>
      <c r="C568">
        <v>2</v>
      </c>
      <c r="D568">
        <v>1</v>
      </c>
      <c r="E568" t="s">
        <v>14</v>
      </c>
      <c r="F568">
        <v>2</v>
      </c>
      <c r="G568">
        <v>1</v>
      </c>
      <c r="H568">
        <v>0</v>
      </c>
    </row>
    <row r="569" spans="1:8" x14ac:dyDescent="0.3">
      <c r="A569">
        <v>3</v>
      </c>
      <c r="B569">
        <v>0</v>
      </c>
      <c r="C569">
        <v>2</v>
      </c>
      <c r="D569">
        <v>1</v>
      </c>
      <c r="E569" t="s">
        <v>14</v>
      </c>
      <c r="F569">
        <v>1</v>
      </c>
      <c r="G569">
        <v>0</v>
      </c>
      <c r="H569">
        <v>2</v>
      </c>
    </row>
    <row r="570" spans="1:8" x14ac:dyDescent="0.3">
      <c r="A570">
        <v>3</v>
      </c>
      <c r="B570">
        <v>0</v>
      </c>
      <c r="C570">
        <v>2</v>
      </c>
      <c r="D570">
        <v>1</v>
      </c>
      <c r="E570" t="s">
        <v>14</v>
      </c>
      <c r="F570">
        <v>0</v>
      </c>
      <c r="G570">
        <v>2</v>
      </c>
      <c r="H570">
        <v>1</v>
      </c>
    </row>
    <row r="571" spans="1:8" x14ac:dyDescent="0.3">
      <c r="A571">
        <v>3</v>
      </c>
      <c r="B571">
        <v>0</v>
      </c>
      <c r="C571">
        <v>2</v>
      </c>
      <c r="D571">
        <v>1</v>
      </c>
      <c r="E571" t="s">
        <v>14</v>
      </c>
      <c r="F571">
        <v>0</v>
      </c>
      <c r="G571">
        <v>2</v>
      </c>
      <c r="H571">
        <v>1</v>
      </c>
    </row>
    <row r="572" spans="1:8" x14ac:dyDescent="0.3">
      <c r="A572">
        <v>3</v>
      </c>
      <c r="B572">
        <v>1</v>
      </c>
      <c r="C572">
        <v>1</v>
      </c>
      <c r="D572">
        <v>1</v>
      </c>
      <c r="E572" t="s">
        <v>14</v>
      </c>
      <c r="F572">
        <v>1</v>
      </c>
      <c r="G572">
        <v>1</v>
      </c>
      <c r="H572">
        <v>1</v>
      </c>
    </row>
    <row r="573" spans="1:8" x14ac:dyDescent="0.3">
      <c r="A573">
        <v>3</v>
      </c>
      <c r="B573">
        <v>1</v>
      </c>
      <c r="C573">
        <v>1</v>
      </c>
      <c r="D573">
        <v>1</v>
      </c>
      <c r="E573" t="s">
        <v>14</v>
      </c>
      <c r="F573">
        <v>1</v>
      </c>
      <c r="G573">
        <v>0</v>
      </c>
      <c r="H573">
        <v>2</v>
      </c>
    </row>
    <row r="574" spans="1:8" x14ac:dyDescent="0.3">
      <c r="A574">
        <v>3</v>
      </c>
      <c r="B574">
        <v>1</v>
      </c>
      <c r="C574">
        <v>1</v>
      </c>
      <c r="D574">
        <v>1</v>
      </c>
      <c r="E574" t="s">
        <v>14</v>
      </c>
      <c r="F574">
        <v>2</v>
      </c>
      <c r="G574">
        <v>1</v>
      </c>
      <c r="H574">
        <v>0</v>
      </c>
    </row>
    <row r="575" spans="1:8" x14ac:dyDescent="0.3">
      <c r="A575">
        <v>3</v>
      </c>
      <c r="B575">
        <v>2</v>
      </c>
      <c r="C575">
        <v>1</v>
      </c>
      <c r="D575">
        <v>0</v>
      </c>
      <c r="E575" t="s">
        <v>14</v>
      </c>
      <c r="F575">
        <v>2</v>
      </c>
      <c r="G575">
        <v>1</v>
      </c>
      <c r="H575">
        <v>0</v>
      </c>
    </row>
    <row r="576" spans="1:8" x14ac:dyDescent="0.3">
      <c r="A576">
        <v>3</v>
      </c>
      <c r="B576">
        <v>0</v>
      </c>
      <c r="C576">
        <v>2</v>
      </c>
      <c r="D576">
        <v>1</v>
      </c>
      <c r="E576" t="s">
        <v>14</v>
      </c>
      <c r="F576">
        <v>1</v>
      </c>
      <c r="G576">
        <v>0</v>
      </c>
      <c r="H576">
        <v>2</v>
      </c>
    </row>
    <row r="577" spans="1:8" x14ac:dyDescent="0.3">
      <c r="A577">
        <v>3</v>
      </c>
      <c r="B577">
        <v>1</v>
      </c>
      <c r="C577">
        <v>1</v>
      </c>
      <c r="D577">
        <v>1</v>
      </c>
      <c r="E577" t="s">
        <v>14</v>
      </c>
      <c r="F577">
        <v>2</v>
      </c>
      <c r="G577">
        <v>1</v>
      </c>
      <c r="H577">
        <v>0</v>
      </c>
    </row>
    <row r="578" spans="1:8" x14ac:dyDescent="0.3">
      <c r="A578">
        <v>3</v>
      </c>
      <c r="B578">
        <v>2</v>
      </c>
      <c r="C578">
        <v>1</v>
      </c>
      <c r="D578">
        <v>0</v>
      </c>
      <c r="E578" t="s">
        <v>14</v>
      </c>
      <c r="F578">
        <v>1</v>
      </c>
      <c r="G578">
        <v>0</v>
      </c>
      <c r="H578">
        <v>2</v>
      </c>
    </row>
    <row r="579" spans="1:8" x14ac:dyDescent="0.3">
      <c r="A579">
        <v>3</v>
      </c>
      <c r="B579">
        <v>1</v>
      </c>
      <c r="C579">
        <v>1</v>
      </c>
      <c r="D579">
        <v>1</v>
      </c>
      <c r="E579" t="s">
        <v>14</v>
      </c>
      <c r="F579">
        <v>1</v>
      </c>
      <c r="G579">
        <v>1</v>
      </c>
      <c r="H579">
        <v>1</v>
      </c>
    </row>
    <row r="580" spans="1:8" x14ac:dyDescent="0.3">
      <c r="A580">
        <v>3</v>
      </c>
      <c r="B580">
        <v>1</v>
      </c>
      <c r="C580">
        <v>1</v>
      </c>
      <c r="D580">
        <v>1</v>
      </c>
      <c r="E580" t="s">
        <v>14</v>
      </c>
      <c r="F580">
        <v>1</v>
      </c>
      <c r="G580">
        <v>1</v>
      </c>
      <c r="H580">
        <v>1</v>
      </c>
    </row>
    <row r="581" spans="1:8" x14ac:dyDescent="0.3">
      <c r="A581">
        <v>3</v>
      </c>
      <c r="B581">
        <v>1</v>
      </c>
      <c r="C581">
        <v>1</v>
      </c>
      <c r="D581">
        <v>1</v>
      </c>
      <c r="E581" t="s">
        <v>14</v>
      </c>
      <c r="F581">
        <v>1</v>
      </c>
      <c r="G581">
        <v>1</v>
      </c>
      <c r="H581">
        <v>1</v>
      </c>
    </row>
    <row r="582" spans="1:8" x14ac:dyDescent="0.3">
      <c r="A582">
        <v>3</v>
      </c>
      <c r="B582">
        <v>1</v>
      </c>
      <c r="C582">
        <v>1</v>
      </c>
      <c r="D582">
        <v>1</v>
      </c>
      <c r="E582" t="s">
        <v>14</v>
      </c>
      <c r="F582">
        <v>1</v>
      </c>
      <c r="G582">
        <v>1</v>
      </c>
      <c r="H582">
        <v>1</v>
      </c>
    </row>
    <row r="583" spans="1:8" x14ac:dyDescent="0.3">
      <c r="A583">
        <v>3</v>
      </c>
      <c r="B583">
        <v>1</v>
      </c>
      <c r="C583">
        <v>0</v>
      </c>
      <c r="D583">
        <v>2</v>
      </c>
      <c r="E583" t="s">
        <v>14</v>
      </c>
      <c r="F583">
        <v>1</v>
      </c>
      <c r="G583">
        <v>0</v>
      </c>
      <c r="H583">
        <v>2</v>
      </c>
    </row>
    <row r="584" spans="1:8" x14ac:dyDescent="0.3">
      <c r="A584">
        <v>3</v>
      </c>
      <c r="B584">
        <v>1</v>
      </c>
      <c r="C584">
        <v>1</v>
      </c>
      <c r="D584">
        <v>1</v>
      </c>
      <c r="E584" t="s">
        <v>14</v>
      </c>
      <c r="F584">
        <v>1</v>
      </c>
      <c r="G584">
        <v>0</v>
      </c>
      <c r="H584">
        <v>2</v>
      </c>
    </row>
    <row r="585" spans="1:8" x14ac:dyDescent="0.3">
      <c r="A585">
        <v>3</v>
      </c>
      <c r="B585">
        <v>1</v>
      </c>
      <c r="C585">
        <v>1</v>
      </c>
      <c r="D585">
        <v>1</v>
      </c>
      <c r="E585" t="s">
        <v>14</v>
      </c>
      <c r="F585">
        <v>0</v>
      </c>
      <c r="G585">
        <v>2</v>
      </c>
      <c r="H585">
        <v>1</v>
      </c>
    </row>
    <row r="586" spans="1:8" x14ac:dyDescent="0.3">
      <c r="A586">
        <v>3</v>
      </c>
      <c r="B586">
        <v>1</v>
      </c>
      <c r="C586">
        <v>1</v>
      </c>
      <c r="D586">
        <v>1</v>
      </c>
      <c r="E586" t="s">
        <v>14</v>
      </c>
      <c r="F586">
        <v>2</v>
      </c>
      <c r="G586">
        <v>1</v>
      </c>
      <c r="H586">
        <v>0</v>
      </c>
    </row>
    <row r="587" spans="1:8" x14ac:dyDescent="0.3">
      <c r="A587">
        <v>3</v>
      </c>
      <c r="B587">
        <v>1</v>
      </c>
      <c r="C587">
        <v>1</v>
      </c>
      <c r="D587">
        <v>1</v>
      </c>
      <c r="E587" t="s">
        <v>14</v>
      </c>
      <c r="F587">
        <v>1</v>
      </c>
      <c r="G587">
        <v>1</v>
      </c>
      <c r="H587">
        <v>1</v>
      </c>
    </row>
    <row r="588" spans="1:8" x14ac:dyDescent="0.3">
      <c r="A588">
        <v>3</v>
      </c>
      <c r="B588">
        <v>2</v>
      </c>
      <c r="C588">
        <v>1</v>
      </c>
      <c r="D588">
        <v>0</v>
      </c>
      <c r="E588" t="s">
        <v>14</v>
      </c>
      <c r="F588">
        <v>2</v>
      </c>
      <c r="G588">
        <v>1</v>
      </c>
      <c r="H588">
        <v>0</v>
      </c>
    </row>
    <row r="589" spans="1:8" x14ac:dyDescent="0.3">
      <c r="A589">
        <v>3</v>
      </c>
      <c r="B589">
        <v>2</v>
      </c>
      <c r="C589">
        <v>1</v>
      </c>
      <c r="D589">
        <v>0</v>
      </c>
      <c r="E589" t="s">
        <v>14</v>
      </c>
      <c r="F589">
        <v>2</v>
      </c>
      <c r="G589">
        <v>1</v>
      </c>
      <c r="H589">
        <v>0</v>
      </c>
    </row>
    <row r="590" spans="1:8" x14ac:dyDescent="0.3">
      <c r="A590">
        <v>3</v>
      </c>
      <c r="B590">
        <v>1</v>
      </c>
      <c r="C590">
        <v>1</v>
      </c>
      <c r="D590">
        <v>1</v>
      </c>
      <c r="E590" t="s">
        <v>14</v>
      </c>
      <c r="F590">
        <v>0</v>
      </c>
      <c r="G590">
        <v>2</v>
      </c>
      <c r="H590">
        <v>1</v>
      </c>
    </row>
    <row r="591" spans="1:8" x14ac:dyDescent="0.3">
      <c r="A591">
        <v>3</v>
      </c>
      <c r="B591">
        <v>1</v>
      </c>
      <c r="C591">
        <v>1</v>
      </c>
      <c r="D591">
        <v>1</v>
      </c>
      <c r="E591" t="s">
        <v>14</v>
      </c>
      <c r="F591">
        <v>1</v>
      </c>
      <c r="G591">
        <v>1</v>
      </c>
      <c r="H591">
        <v>1</v>
      </c>
    </row>
    <row r="592" spans="1:8" x14ac:dyDescent="0.3">
      <c r="A592">
        <v>3</v>
      </c>
      <c r="B592">
        <v>0</v>
      </c>
      <c r="C592">
        <v>2</v>
      </c>
      <c r="D592">
        <v>1</v>
      </c>
      <c r="E592" t="s">
        <v>14</v>
      </c>
      <c r="F592">
        <v>0</v>
      </c>
      <c r="G592">
        <v>2</v>
      </c>
      <c r="H592">
        <v>1</v>
      </c>
    </row>
    <row r="593" spans="1:8" x14ac:dyDescent="0.3">
      <c r="A593">
        <v>3</v>
      </c>
      <c r="B593">
        <v>1</v>
      </c>
      <c r="C593">
        <v>1</v>
      </c>
      <c r="D593">
        <v>1</v>
      </c>
      <c r="E593" t="s">
        <v>14</v>
      </c>
      <c r="F593">
        <v>1</v>
      </c>
      <c r="G593">
        <v>1</v>
      </c>
      <c r="H593">
        <v>1</v>
      </c>
    </row>
    <row r="594" spans="1:8" x14ac:dyDescent="0.3">
      <c r="A594">
        <v>3</v>
      </c>
      <c r="B594">
        <v>1</v>
      </c>
      <c r="C594">
        <v>1</v>
      </c>
      <c r="D594">
        <v>1</v>
      </c>
      <c r="E594" t="s">
        <v>14</v>
      </c>
      <c r="F594">
        <v>0</v>
      </c>
      <c r="G594">
        <v>2</v>
      </c>
      <c r="H594">
        <v>1</v>
      </c>
    </row>
    <row r="595" spans="1:8" x14ac:dyDescent="0.3">
      <c r="A595">
        <v>3</v>
      </c>
      <c r="B595">
        <v>0</v>
      </c>
      <c r="C595">
        <v>2</v>
      </c>
      <c r="D595">
        <v>1</v>
      </c>
      <c r="E595" t="s">
        <v>14</v>
      </c>
      <c r="F595">
        <v>0</v>
      </c>
      <c r="G595">
        <v>2</v>
      </c>
      <c r="H595">
        <v>1</v>
      </c>
    </row>
    <row r="596" spans="1:8" x14ac:dyDescent="0.3">
      <c r="A596">
        <v>3</v>
      </c>
      <c r="B596">
        <v>1</v>
      </c>
      <c r="C596">
        <v>1</v>
      </c>
      <c r="D596">
        <v>1</v>
      </c>
      <c r="E596" t="s">
        <v>14</v>
      </c>
      <c r="F596">
        <v>1</v>
      </c>
      <c r="G596">
        <v>0</v>
      </c>
      <c r="H596">
        <v>2</v>
      </c>
    </row>
    <row r="597" spans="1:8" x14ac:dyDescent="0.3">
      <c r="A597">
        <v>3</v>
      </c>
      <c r="B597">
        <v>1</v>
      </c>
      <c r="C597">
        <v>0</v>
      </c>
      <c r="D597">
        <v>2</v>
      </c>
      <c r="E597" t="s">
        <v>14</v>
      </c>
      <c r="F597">
        <v>1</v>
      </c>
      <c r="G597">
        <v>0</v>
      </c>
      <c r="H597">
        <v>2</v>
      </c>
    </row>
    <row r="598" spans="1:8" x14ac:dyDescent="0.3">
      <c r="A598">
        <v>3</v>
      </c>
      <c r="B598">
        <v>0</v>
      </c>
      <c r="C598">
        <v>2</v>
      </c>
      <c r="D598">
        <v>1</v>
      </c>
      <c r="E598" t="s">
        <v>14</v>
      </c>
      <c r="F598">
        <v>0</v>
      </c>
      <c r="G598">
        <v>2</v>
      </c>
      <c r="H598">
        <v>1</v>
      </c>
    </row>
    <row r="599" spans="1:8" x14ac:dyDescent="0.3">
      <c r="A599">
        <v>3</v>
      </c>
      <c r="B599">
        <v>1</v>
      </c>
      <c r="C599">
        <v>1</v>
      </c>
      <c r="D599">
        <v>1</v>
      </c>
      <c r="E599" t="s">
        <v>14</v>
      </c>
      <c r="F599">
        <v>0</v>
      </c>
      <c r="G599">
        <v>2</v>
      </c>
      <c r="H599">
        <v>1</v>
      </c>
    </row>
    <row r="600" spans="1:8" x14ac:dyDescent="0.3">
      <c r="A600">
        <v>3</v>
      </c>
      <c r="B600">
        <v>1</v>
      </c>
      <c r="C600">
        <v>1</v>
      </c>
      <c r="D600">
        <v>1</v>
      </c>
      <c r="E600" t="s">
        <v>14</v>
      </c>
      <c r="F600">
        <v>1</v>
      </c>
      <c r="G600">
        <v>1</v>
      </c>
      <c r="H600">
        <v>1</v>
      </c>
    </row>
    <row r="601" spans="1:8" x14ac:dyDescent="0.3">
      <c r="A601">
        <v>3</v>
      </c>
      <c r="B601">
        <v>1</v>
      </c>
      <c r="C601">
        <v>1</v>
      </c>
      <c r="D601">
        <v>1</v>
      </c>
      <c r="E601" t="s">
        <v>14</v>
      </c>
      <c r="F601">
        <v>1</v>
      </c>
      <c r="G601">
        <v>1</v>
      </c>
      <c r="H601">
        <v>1</v>
      </c>
    </row>
    <row r="602" spans="1:8" x14ac:dyDescent="0.3">
      <c r="A602">
        <v>3</v>
      </c>
      <c r="B602">
        <v>1</v>
      </c>
      <c r="C602">
        <v>1</v>
      </c>
      <c r="D602">
        <v>1</v>
      </c>
      <c r="E602" t="s">
        <v>14</v>
      </c>
      <c r="F602">
        <v>1</v>
      </c>
      <c r="G602">
        <v>0</v>
      </c>
      <c r="H602">
        <v>2</v>
      </c>
    </row>
    <row r="603" spans="1:8" x14ac:dyDescent="0.3">
      <c r="A603">
        <v>3</v>
      </c>
      <c r="B603">
        <v>1</v>
      </c>
      <c r="C603">
        <v>1</v>
      </c>
      <c r="D603">
        <v>1</v>
      </c>
      <c r="E603" t="s">
        <v>14</v>
      </c>
      <c r="F603">
        <v>1</v>
      </c>
      <c r="G603">
        <v>0</v>
      </c>
      <c r="H603">
        <v>2</v>
      </c>
    </row>
    <row r="604" spans="1:8" x14ac:dyDescent="0.3">
      <c r="A604">
        <v>3</v>
      </c>
      <c r="B604">
        <v>1</v>
      </c>
      <c r="C604">
        <v>1</v>
      </c>
      <c r="D604">
        <v>1</v>
      </c>
      <c r="E604" t="s">
        <v>14</v>
      </c>
      <c r="F604">
        <v>1</v>
      </c>
      <c r="G604">
        <v>0</v>
      </c>
      <c r="H604">
        <v>2</v>
      </c>
    </row>
    <row r="605" spans="1:8" x14ac:dyDescent="0.3">
      <c r="A605">
        <v>3</v>
      </c>
      <c r="B605">
        <v>1</v>
      </c>
      <c r="C605">
        <v>1</v>
      </c>
      <c r="D605">
        <v>1</v>
      </c>
      <c r="E605" t="s">
        <v>14</v>
      </c>
      <c r="F605">
        <v>1</v>
      </c>
      <c r="G605">
        <v>0</v>
      </c>
      <c r="H605">
        <v>2</v>
      </c>
    </row>
    <row r="606" spans="1:8" x14ac:dyDescent="0.3">
      <c r="A606">
        <v>3</v>
      </c>
      <c r="B606">
        <v>0</v>
      </c>
      <c r="C606">
        <v>2</v>
      </c>
      <c r="D606">
        <v>1</v>
      </c>
      <c r="E606" t="s">
        <v>14</v>
      </c>
      <c r="F606">
        <v>2</v>
      </c>
      <c r="G606">
        <v>1</v>
      </c>
      <c r="H606">
        <v>0</v>
      </c>
    </row>
    <row r="607" spans="1:8" x14ac:dyDescent="0.3">
      <c r="A607">
        <v>3</v>
      </c>
      <c r="B607">
        <v>1</v>
      </c>
      <c r="C607">
        <v>1</v>
      </c>
      <c r="D607">
        <v>1</v>
      </c>
      <c r="E607" t="s">
        <v>14</v>
      </c>
      <c r="F607">
        <v>0</v>
      </c>
      <c r="G607">
        <v>2</v>
      </c>
      <c r="H607">
        <v>1</v>
      </c>
    </row>
    <row r="608" spans="1:8" x14ac:dyDescent="0.3">
      <c r="A608">
        <v>4</v>
      </c>
      <c r="B608">
        <v>1</v>
      </c>
      <c r="C608">
        <v>1</v>
      </c>
      <c r="D608">
        <v>2</v>
      </c>
      <c r="E608" t="s">
        <v>14</v>
      </c>
      <c r="F608">
        <v>2</v>
      </c>
      <c r="G608">
        <v>2</v>
      </c>
      <c r="H608">
        <v>0</v>
      </c>
    </row>
    <row r="609" spans="1:8" x14ac:dyDescent="0.3">
      <c r="A609">
        <v>4</v>
      </c>
      <c r="B609">
        <v>1</v>
      </c>
      <c r="C609">
        <v>2</v>
      </c>
      <c r="D609">
        <v>1</v>
      </c>
      <c r="E609" t="s">
        <v>14</v>
      </c>
      <c r="F609">
        <v>0</v>
      </c>
      <c r="G609">
        <v>2</v>
      </c>
      <c r="H609">
        <v>2</v>
      </c>
    </row>
    <row r="610" spans="1:8" x14ac:dyDescent="0.3">
      <c r="A610">
        <v>4</v>
      </c>
      <c r="B610">
        <v>1</v>
      </c>
      <c r="C610">
        <v>1</v>
      </c>
      <c r="D610">
        <v>2</v>
      </c>
      <c r="E610" t="s">
        <v>14</v>
      </c>
      <c r="F610">
        <v>1</v>
      </c>
      <c r="G610">
        <v>1</v>
      </c>
      <c r="H610">
        <v>2</v>
      </c>
    </row>
    <row r="611" spans="1:8" x14ac:dyDescent="0.3">
      <c r="A611">
        <v>4</v>
      </c>
      <c r="B611">
        <v>2</v>
      </c>
      <c r="C611">
        <v>1</v>
      </c>
      <c r="D611">
        <v>1</v>
      </c>
      <c r="E611" t="s">
        <v>14</v>
      </c>
      <c r="F611">
        <v>2</v>
      </c>
      <c r="G611">
        <v>1</v>
      </c>
      <c r="H611">
        <v>1</v>
      </c>
    </row>
    <row r="612" spans="1:8" x14ac:dyDescent="0.3">
      <c r="A612">
        <v>4</v>
      </c>
      <c r="B612">
        <v>1</v>
      </c>
      <c r="C612">
        <v>2</v>
      </c>
      <c r="D612">
        <v>1</v>
      </c>
      <c r="E612" t="s">
        <v>14</v>
      </c>
      <c r="F612">
        <v>0</v>
      </c>
      <c r="G612">
        <v>2</v>
      </c>
      <c r="H612">
        <v>2</v>
      </c>
    </row>
    <row r="613" spans="1:8" x14ac:dyDescent="0.3">
      <c r="A613">
        <v>4</v>
      </c>
      <c r="B613">
        <v>1</v>
      </c>
      <c r="C613">
        <v>2</v>
      </c>
      <c r="D613">
        <v>1</v>
      </c>
      <c r="E613" t="s">
        <v>14</v>
      </c>
      <c r="F613">
        <v>2</v>
      </c>
      <c r="G613">
        <v>0</v>
      </c>
      <c r="H613">
        <v>2</v>
      </c>
    </row>
    <row r="614" spans="1:8" x14ac:dyDescent="0.3">
      <c r="A614">
        <v>4</v>
      </c>
      <c r="B614">
        <v>2</v>
      </c>
      <c r="C614">
        <v>1</v>
      </c>
      <c r="D614">
        <v>1</v>
      </c>
      <c r="E614" t="s">
        <v>14</v>
      </c>
      <c r="F614">
        <v>2</v>
      </c>
      <c r="G614">
        <v>1</v>
      </c>
      <c r="H614">
        <v>1</v>
      </c>
    </row>
    <row r="615" spans="1:8" x14ac:dyDescent="0.3">
      <c r="A615">
        <v>4</v>
      </c>
      <c r="B615">
        <v>1</v>
      </c>
      <c r="C615">
        <v>2</v>
      </c>
      <c r="D615">
        <v>1</v>
      </c>
      <c r="E615" t="s">
        <v>14</v>
      </c>
      <c r="F615">
        <v>0</v>
      </c>
      <c r="G615">
        <v>2</v>
      </c>
      <c r="H615">
        <v>2</v>
      </c>
    </row>
    <row r="616" spans="1:8" x14ac:dyDescent="0.3">
      <c r="A616">
        <v>4</v>
      </c>
      <c r="B616">
        <v>2</v>
      </c>
      <c r="C616">
        <v>1</v>
      </c>
      <c r="D616">
        <v>1</v>
      </c>
      <c r="E616" t="s">
        <v>14</v>
      </c>
      <c r="F616">
        <v>2</v>
      </c>
      <c r="G616">
        <v>1</v>
      </c>
      <c r="H616">
        <v>1</v>
      </c>
    </row>
    <row r="617" spans="1:8" x14ac:dyDescent="0.3">
      <c r="A617">
        <v>5</v>
      </c>
      <c r="B617">
        <v>2</v>
      </c>
      <c r="C617">
        <v>2</v>
      </c>
      <c r="D617">
        <v>1</v>
      </c>
      <c r="E617" t="s">
        <v>14</v>
      </c>
      <c r="F617">
        <v>2</v>
      </c>
      <c r="G617">
        <v>2</v>
      </c>
      <c r="H617">
        <v>1</v>
      </c>
    </row>
    <row r="618" spans="1:8" x14ac:dyDescent="0.3">
      <c r="A618">
        <v>5</v>
      </c>
      <c r="B618">
        <v>1</v>
      </c>
      <c r="C618">
        <v>2</v>
      </c>
      <c r="D618">
        <v>2</v>
      </c>
      <c r="E618" t="s">
        <v>14</v>
      </c>
      <c r="F618">
        <v>1</v>
      </c>
      <c r="G618">
        <v>2</v>
      </c>
      <c r="H618">
        <v>2</v>
      </c>
    </row>
    <row r="619" spans="1:8" x14ac:dyDescent="0.3">
      <c r="A619">
        <v>5</v>
      </c>
      <c r="B619">
        <v>1</v>
      </c>
      <c r="C619">
        <v>2</v>
      </c>
      <c r="D619">
        <v>2</v>
      </c>
      <c r="E619" t="s">
        <v>14</v>
      </c>
      <c r="F619">
        <v>2</v>
      </c>
      <c r="G619">
        <v>3</v>
      </c>
      <c r="H619">
        <v>0</v>
      </c>
    </row>
    <row r="620" spans="1:8" x14ac:dyDescent="0.3">
      <c r="A620">
        <v>5</v>
      </c>
      <c r="B620">
        <v>1</v>
      </c>
      <c r="C620">
        <v>2</v>
      </c>
      <c r="D620">
        <v>2</v>
      </c>
      <c r="E620" t="s">
        <v>14</v>
      </c>
      <c r="F620">
        <v>1</v>
      </c>
      <c r="G620">
        <v>2</v>
      </c>
      <c r="H620">
        <v>2</v>
      </c>
    </row>
    <row r="621" spans="1:8" x14ac:dyDescent="0.3">
      <c r="A621">
        <v>5</v>
      </c>
      <c r="B621">
        <v>2</v>
      </c>
      <c r="C621">
        <v>1</v>
      </c>
      <c r="D621">
        <v>2</v>
      </c>
      <c r="E621" t="s">
        <v>14</v>
      </c>
      <c r="F621">
        <v>2</v>
      </c>
      <c r="G621">
        <v>1</v>
      </c>
      <c r="H621">
        <v>2</v>
      </c>
    </row>
    <row r="622" spans="1:8" x14ac:dyDescent="0.3">
      <c r="A622">
        <v>5</v>
      </c>
      <c r="B622">
        <v>2</v>
      </c>
      <c r="C622">
        <v>2</v>
      </c>
      <c r="D622">
        <v>1</v>
      </c>
      <c r="E622" t="s">
        <v>14</v>
      </c>
      <c r="F622">
        <v>2</v>
      </c>
      <c r="G622">
        <v>3</v>
      </c>
      <c r="H622">
        <v>0</v>
      </c>
    </row>
    <row r="623" spans="1:8" x14ac:dyDescent="0.3">
      <c r="A623">
        <v>5</v>
      </c>
      <c r="B623">
        <v>1</v>
      </c>
      <c r="C623">
        <v>2</v>
      </c>
      <c r="D623">
        <v>2</v>
      </c>
      <c r="E623" t="s">
        <v>14</v>
      </c>
      <c r="F623">
        <v>1</v>
      </c>
      <c r="G623">
        <v>2</v>
      </c>
      <c r="H623">
        <v>2</v>
      </c>
    </row>
    <row r="624" spans="1:8" x14ac:dyDescent="0.3">
      <c r="A624">
        <v>6</v>
      </c>
      <c r="B624">
        <v>1</v>
      </c>
      <c r="C624">
        <v>2</v>
      </c>
      <c r="D624">
        <v>3</v>
      </c>
      <c r="E624" t="s">
        <v>14</v>
      </c>
      <c r="F624">
        <v>1</v>
      </c>
      <c r="G624">
        <v>2</v>
      </c>
      <c r="H624">
        <v>3</v>
      </c>
    </row>
    <row r="625" spans="1:8" x14ac:dyDescent="0.3">
      <c r="A625">
        <v>6</v>
      </c>
      <c r="B625">
        <v>3</v>
      </c>
      <c r="C625">
        <v>1</v>
      </c>
      <c r="D625">
        <v>2</v>
      </c>
      <c r="E625" t="s">
        <v>14</v>
      </c>
      <c r="F625">
        <v>3</v>
      </c>
      <c r="G625">
        <v>1</v>
      </c>
      <c r="H625">
        <v>2</v>
      </c>
    </row>
    <row r="626" spans="1:8" x14ac:dyDescent="0.3">
      <c r="A626">
        <v>6</v>
      </c>
      <c r="B626">
        <v>3</v>
      </c>
      <c r="C626">
        <v>1</v>
      </c>
      <c r="D626">
        <v>2</v>
      </c>
      <c r="E626" t="s">
        <v>14</v>
      </c>
      <c r="F626">
        <v>3</v>
      </c>
      <c r="G626">
        <v>1</v>
      </c>
      <c r="H626">
        <v>2</v>
      </c>
    </row>
    <row r="627" spans="1:8" x14ac:dyDescent="0.3">
      <c r="A627">
        <v>6</v>
      </c>
      <c r="B627">
        <v>2</v>
      </c>
      <c r="C627">
        <v>2</v>
      </c>
      <c r="D627">
        <v>2</v>
      </c>
      <c r="E627" t="s">
        <v>14</v>
      </c>
      <c r="F627">
        <v>2</v>
      </c>
      <c r="G627">
        <v>2</v>
      </c>
      <c r="H627">
        <v>2</v>
      </c>
    </row>
    <row r="628" spans="1:8" x14ac:dyDescent="0.3">
      <c r="A628">
        <v>7</v>
      </c>
      <c r="B628">
        <v>2</v>
      </c>
      <c r="C628">
        <v>2</v>
      </c>
      <c r="D628">
        <v>3</v>
      </c>
      <c r="E628" t="s">
        <v>14</v>
      </c>
      <c r="F628">
        <v>2</v>
      </c>
      <c r="G628">
        <v>2</v>
      </c>
      <c r="H628">
        <v>3</v>
      </c>
    </row>
    <row r="629" spans="1:8" x14ac:dyDescent="0.3">
      <c r="A629">
        <v>7</v>
      </c>
      <c r="B629">
        <v>3</v>
      </c>
      <c r="C629">
        <v>2</v>
      </c>
      <c r="D629">
        <v>2</v>
      </c>
      <c r="E629" t="s">
        <v>14</v>
      </c>
      <c r="F629">
        <v>3</v>
      </c>
      <c r="G629">
        <v>2</v>
      </c>
      <c r="H629">
        <v>2</v>
      </c>
    </row>
    <row r="630" spans="1:8" x14ac:dyDescent="0.3">
      <c r="A630">
        <v>8</v>
      </c>
      <c r="B630">
        <v>2</v>
      </c>
      <c r="C630">
        <v>3</v>
      </c>
      <c r="D630">
        <v>3</v>
      </c>
      <c r="E630" t="s">
        <v>14</v>
      </c>
      <c r="F630">
        <v>2</v>
      </c>
      <c r="G630">
        <v>3</v>
      </c>
      <c r="H630">
        <v>3</v>
      </c>
    </row>
    <row r="631" spans="1:8" x14ac:dyDescent="0.3">
      <c r="A631">
        <v>2</v>
      </c>
      <c r="B631">
        <v>1</v>
      </c>
      <c r="C631">
        <v>0</v>
      </c>
      <c r="D631">
        <v>1</v>
      </c>
      <c r="E631" t="s">
        <v>14</v>
      </c>
      <c r="F631">
        <v>1</v>
      </c>
      <c r="G631">
        <v>0</v>
      </c>
      <c r="H631">
        <v>1</v>
      </c>
    </row>
    <row r="632" spans="1:8" x14ac:dyDescent="0.3">
      <c r="A632">
        <v>2</v>
      </c>
      <c r="B632">
        <v>0</v>
      </c>
      <c r="C632">
        <v>1</v>
      </c>
      <c r="D632">
        <v>1</v>
      </c>
      <c r="E632" t="s">
        <v>14</v>
      </c>
      <c r="F632">
        <v>0</v>
      </c>
      <c r="G632">
        <v>1</v>
      </c>
      <c r="H632">
        <v>1</v>
      </c>
    </row>
    <row r="633" spans="1:8" x14ac:dyDescent="0.3">
      <c r="A633">
        <v>2</v>
      </c>
      <c r="B633">
        <v>1</v>
      </c>
      <c r="C633">
        <v>0</v>
      </c>
      <c r="D633">
        <v>1</v>
      </c>
      <c r="E633" t="s">
        <v>14</v>
      </c>
      <c r="F633">
        <v>2</v>
      </c>
      <c r="G633">
        <v>0</v>
      </c>
      <c r="H633">
        <v>0</v>
      </c>
    </row>
    <row r="634" spans="1:8" x14ac:dyDescent="0.3">
      <c r="A634">
        <v>2</v>
      </c>
      <c r="B634">
        <v>0</v>
      </c>
      <c r="C634">
        <v>1</v>
      </c>
      <c r="D634">
        <v>1</v>
      </c>
      <c r="E634" t="s">
        <v>14</v>
      </c>
      <c r="F634">
        <v>0</v>
      </c>
      <c r="G634">
        <v>2</v>
      </c>
      <c r="H634">
        <v>0</v>
      </c>
    </row>
    <row r="635" spans="1:8" x14ac:dyDescent="0.3">
      <c r="A635">
        <v>2</v>
      </c>
      <c r="B635">
        <v>0</v>
      </c>
      <c r="C635">
        <v>1</v>
      </c>
      <c r="D635">
        <v>1</v>
      </c>
      <c r="E635" t="s">
        <v>14</v>
      </c>
      <c r="F635">
        <v>0</v>
      </c>
      <c r="G635">
        <v>1</v>
      </c>
      <c r="H635">
        <v>1</v>
      </c>
    </row>
    <row r="636" spans="1:8" x14ac:dyDescent="0.3">
      <c r="A636">
        <v>2</v>
      </c>
      <c r="B636">
        <v>0</v>
      </c>
      <c r="C636">
        <v>1</v>
      </c>
      <c r="D636">
        <v>1</v>
      </c>
      <c r="E636" t="s">
        <v>14</v>
      </c>
      <c r="F636">
        <v>0</v>
      </c>
      <c r="G636">
        <v>1</v>
      </c>
      <c r="H636">
        <v>1</v>
      </c>
    </row>
    <row r="637" spans="1:8" x14ac:dyDescent="0.3">
      <c r="A637">
        <v>2</v>
      </c>
      <c r="B637">
        <v>0</v>
      </c>
      <c r="C637">
        <v>1</v>
      </c>
      <c r="D637">
        <v>1</v>
      </c>
      <c r="E637" t="s">
        <v>14</v>
      </c>
      <c r="F637">
        <v>0</v>
      </c>
      <c r="G637">
        <v>1</v>
      </c>
      <c r="H637">
        <v>1</v>
      </c>
    </row>
    <row r="638" spans="1:8" x14ac:dyDescent="0.3">
      <c r="A638">
        <v>3</v>
      </c>
      <c r="B638">
        <v>1</v>
      </c>
      <c r="C638">
        <v>0</v>
      </c>
      <c r="D638">
        <v>2</v>
      </c>
      <c r="E638" t="s">
        <v>14</v>
      </c>
      <c r="F638">
        <v>1</v>
      </c>
      <c r="G638">
        <v>0</v>
      </c>
      <c r="H638">
        <v>2</v>
      </c>
    </row>
    <row r="639" spans="1:8" x14ac:dyDescent="0.3">
      <c r="A639">
        <v>3</v>
      </c>
      <c r="B639">
        <v>1</v>
      </c>
      <c r="C639">
        <v>1</v>
      </c>
      <c r="D639">
        <v>1</v>
      </c>
      <c r="E639" t="s">
        <v>14</v>
      </c>
      <c r="F639">
        <v>1</v>
      </c>
      <c r="G639">
        <v>0</v>
      </c>
      <c r="H639">
        <v>2</v>
      </c>
    </row>
    <row r="640" spans="1:8" x14ac:dyDescent="0.3">
      <c r="A640">
        <v>3</v>
      </c>
      <c r="B640">
        <v>1</v>
      </c>
      <c r="C640">
        <v>1</v>
      </c>
      <c r="D640">
        <v>1</v>
      </c>
      <c r="E640" t="s">
        <v>14</v>
      </c>
      <c r="F640">
        <v>2</v>
      </c>
      <c r="G640">
        <v>1</v>
      </c>
      <c r="H640">
        <v>0</v>
      </c>
    </row>
    <row r="641" spans="1:8" x14ac:dyDescent="0.3">
      <c r="A641">
        <v>3</v>
      </c>
      <c r="B641">
        <v>1</v>
      </c>
      <c r="C641">
        <v>1</v>
      </c>
      <c r="D641">
        <v>1</v>
      </c>
      <c r="E641" t="s">
        <v>14</v>
      </c>
      <c r="F641">
        <v>0</v>
      </c>
      <c r="G641">
        <v>2</v>
      </c>
      <c r="H641">
        <v>1</v>
      </c>
    </row>
    <row r="642" spans="1:8" x14ac:dyDescent="0.3">
      <c r="A642">
        <v>3</v>
      </c>
      <c r="B642">
        <v>1</v>
      </c>
      <c r="C642">
        <v>1</v>
      </c>
      <c r="D642">
        <v>1</v>
      </c>
      <c r="E642" t="s">
        <v>14</v>
      </c>
      <c r="F642">
        <v>0</v>
      </c>
      <c r="G642">
        <v>2</v>
      </c>
      <c r="H642">
        <v>1</v>
      </c>
    </row>
    <row r="643" spans="1:8" x14ac:dyDescent="0.3">
      <c r="A643">
        <v>3</v>
      </c>
      <c r="B643">
        <v>1</v>
      </c>
      <c r="C643">
        <v>1</v>
      </c>
      <c r="D643">
        <v>1</v>
      </c>
      <c r="E643" t="s">
        <v>14</v>
      </c>
      <c r="F643">
        <v>1</v>
      </c>
      <c r="G643">
        <v>1</v>
      </c>
      <c r="H643">
        <v>1</v>
      </c>
    </row>
    <row r="644" spans="1:8" x14ac:dyDescent="0.3">
      <c r="A644">
        <v>3</v>
      </c>
      <c r="B644">
        <v>1</v>
      </c>
      <c r="C644">
        <v>0</v>
      </c>
      <c r="D644">
        <v>2</v>
      </c>
      <c r="E644" t="s">
        <v>14</v>
      </c>
      <c r="F644">
        <v>1</v>
      </c>
      <c r="G644">
        <v>0</v>
      </c>
      <c r="H644">
        <v>2</v>
      </c>
    </row>
    <row r="645" spans="1:8" x14ac:dyDescent="0.3">
      <c r="A645">
        <v>3</v>
      </c>
      <c r="B645">
        <v>1</v>
      </c>
      <c r="C645">
        <v>1</v>
      </c>
      <c r="D645">
        <v>1</v>
      </c>
      <c r="E645" t="s">
        <v>14</v>
      </c>
      <c r="F645">
        <v>1</v>
      </c>
      <c r="G645">
        <v>1</v>
      </c>
      <c r="H645">
        <v>1</v>
      </c>
    </row>
    <row r="646" spans="1:8" x14ac:dyDescent="0.3">
      <c r="A646">
        <v>3</v>
      </c>
      <c r="B646">
        <v>1</v>
      </c>
      <c r="C646">
        <v>1</v>
      </c>
      <c r="D646">
        <v>1</v>
      </c>
      <c r="E646" t="s">
        <v>14</v>
      </c>
      <c r="F646">
        <v>1</v>
      </c>
      <c r="G646">
        <v>1</v>
      </c>
      <c r="H646">
        <v>1</v>
      </c>
    </row>
    <row r="647" spans="1:8" x14ac:dyDescent="0.3">
      <c r="A647">
        <v>3</v>
      </c>
      <c r="B647">
        <v>0</v>
      </c>
      <c r="C647">
        <v>2</v>
      </c>
      <c r="D647">
        <v>1</v>
      </c>
      <c r="E647" t="s">
        <v>14</v>
      </c>
      <c r="F647">
        <v>1</v>
      </c>
      <c r="G647">
        <v>0</v>
      </c>
      <c r="H647">
        <v>2</v>
      </c>
    </row>
    <row r="648" spans="1:8" x14ac:dyDescent="0.3">
      <c r="A648">
        <v>3</v>
      </c>
      <c r="B648">
        <v>1</v>
      </c>
      <c r="C648">
        <v>1</v>
      </c>
      <c r="D648">
        <v>1</v>
      </c>
      <c r="E648" t="s">
        <v>14</v>
      </c>
      <c r="F648">
        <v>1</v>
      </c>
      <c r="G648">
        <v>0</v>
      </c>
      <c r="H648">
        <v>2</v>
      </c>
    </row>
    <row r="649" spans="1:8" x14ac:dyDescent="0.3">
      <c r="A649">
        <v>3</v>
      </c>
      <c r="B649">
        <v>1</v>
      </c>
      <c r="C649">
        <v>1</v>
      </c>
      <c r="D649">
        <v>1</v>
      </c>
      <c r="E649" t="s">
        <v>14</v>
      </c>
      <c r="F649">
        <v>1</v>
      </c>
      <c r="G649">
        <v>0</v>
      </c>
      <c r="H649">
        <v>2</v>
      </c>
    </row>
    <row r="650" spans="1:8" x14ac:dyDescent="0.3">
      <c r="A650">
        <v>3</v>
      </c>
      <c r="B650">
        <v>1</v>
      </c>
      <c r="C650">
        <v>1</v>
      </c>
      <c r="D650">
        <v>1</v>
      </c>
      <c r="E650" t="s">
        <v>14</v>
      </c>
      <c r="F650">
        <v>1</v>
      </c>
      <c r="G650">
        <v>1</v>
      </c>
      <c r="H650">
        <v>1</v>
      </c>
    </row>
    <row r="651" spans="1:8" x14ac:dyDescent="0.3">
      <c r="A651">
        <v>3</v>
      </c>
      <c r="B651">
        <v>1</v>
      </c>
      <c r="C651">
        <v>1</v>
      </c>
      <c r="D651">
        <v>1</v>
      </c>
      <c r="E651" t="s">
        <v>14</v>
      </c>
      <c r="F651">
        <v>2</v>
      </c>
      <c r="G651">
        <v>1</v>
      </c>
      <c r="H651">
        <v>0</v>
      </c>
    </row>
    <row r="652" spans="1:8" x14ac:dyDescent="0.3">
      <c r="A652">
        <v>3</v>
      </c>
      <c r="B652">
        <v>1</v>
      </c>
      <c r="C652">
        <v>1</v>
      </c>
      <c r="D652">
        <v>1</v>
      </c>
      <c r="E652" t="s">
        <v>14</v>
      </c>
      <c r="F652">
        <v>1</v>
      </c>
      <c r="G652">
        <v>1</v>
      </c>
      <c r="H652">
        <v>1</v>
      </c>
    </row>
    <row r="653" spans="1:8" x14ac:dyDescent="0.3">
      <c r="A653">
        <v>3</v>
      </c>
      <c r="B653">
        <v>1</v>
      </c>
      <c r="C653">
        <v>1</v>
      </c>
      <c r="D653">
        <v>1</v>
      </c>
      <c r="E653" t="s">
        <v>14</v>
      </c>
      <c r="F653">
        <v>2</v>
      </c>
      <c r="G653">
        <v>1</v>
      </c>
      <c r="H653">
        <v>0</v>
      </c>
    </row>
    <row r="654" spans="1:8" x14ac:dyDescent="0.3">
      <c r="A654">
        <v>3</v>
      </c>
      <c r="B654">
        <v>2</v>
      </c>
      <c r="C654">
        <v>1</v>
      </c>
      <c r="D654">
        <v>0</v>
      </c>
      <c r="E654" t="s">
        <v>14</v>
      </c>
      <c r="F654">
        <v>0</v>
      </c>
      <c r="G654">
        <v>2</v>
      </c>
      <c r="H654">
        <v>1</v>
      </c>
    </row>
    <row r="655" spans="1:8" x14ac:dyDescent="0.3">
      <c r="A655">
        <v>3</v>
      </c>
      <c r="B655">
        <v>1</v>
      </c>
      <c r="C655">
        <v>1</v>
      </c>
      <c r="D655">
        <v>1</v>
      </c>
      <c r="E655" t="s">
        <v>14</v>
      </c>
      <c r="F655">
        <v>1</v>
      </c>
      <c r="G655">
        <v>1</v>
      </c>
      <c r="H655">
        <v>1</v>
      </c>
    </row>
    <row r="656" spans="1:8" x14ac:dyDescent="0.3">
      <c r="A656">
        <v>3</v>
      </c>
      <c r="B656">
        <v>1</v>
      </c>
      <c r="C656">
        <v>1</v>
      </c>
      <c r="D656">
        <v>1</v>
      </c>
      <c r="E656" t="s">
        <v>14</v>
      </c>
      <c r="F656">
        <v>1</v>
      </c>
      <c r="G656">
        <v>1</v>
      </c>
      <c r="H656">
        <v>1</v>
      </c>
    </row>
    <row r="657" spans="1:8" x14ac:dyDescent="0.3">
      <c r="A657">
        <v>3</v>
      </c>
      <c r="B657">
        <v>0</v>
      </c>
      <c r="C657">
        <v>2</v>
      </c>
      <c r="D657">
        <v>1</v>
      </c>
      <c r="E657" t="s">
        <v>14</v>
      </c>
      <c r="F657">
        <v>0</v>
      </c>
      <c r="G657">
        <v>2</v>
      </c>
      <c r="H657">
        <v>1</v>
      </c>
    </row>
    <row r="658" spans="1:8" x14ac:dyDescent="0.3">
      <c r="A658">
        <v>3</v>
      </c>
      <c r="B658">
        <v>1</v>
      </c>
      <c r="C658">
        <v>0</v>
      </c>
      <c r="D658">
        <v>2</v>
      </c>
      <c r="E658" t="s">
        <v>14</v>
      </c>
      <c r="F658">
        <v>1</v>
      </c>
      <c r="G658">
        <v>0</v>
      </c>
      <c r="H658">
        <v>2</v>
      </c>
    </row>
    <row r="659" spans="1:8" x14ac:dyDescent="0.3">
      <c r="A659">
        <v>3</v>
      </c>
      <c r="B659">
        <v>1</v>
      </c>
      <c r="C659">
        <v>1</v>
      </c>
      <c r="D659">
        <v>1</v>
      </c>
      <c r="E659" t="s">
        <v>14</v>
      </c>
      <c r="F659">
        <v>1</v>
      </c>
      <c r="G659">
        <v>0</v>
      </c>
      <c r="H659">
        <v>2</v>
      </c>
    </row>
    <row r="660" spans="1:8" x14ac:dyDescent="0.3">
      <c r="A660">
        <v>3</v>
      </c>
      <c r="B660">
        <v>1</v>
      </c>
      <c r="C660">
        <v>1</v>
      </c>
      <c r="D660">
        <v>1</v>
      </c>
      <c r="E660" t="s">
        <v>14</v>
      </c>
      <c r="F660">
        <v>1</v>
      </c>
      <c r="G660">
        <v>1</v>
      </c>
      <c r="H660">
        <v>1</v>
      </c>
    </row>
    <row r="661" spans="1:8" x14ac:dyDescent="0.3">
      <c r="A661">
        <v>3</v>
      </c>
      <c r="B661">
        <v>1</v>
      </c>
      <c r="C661">
        <v>0</v>
      </c>
      <c r="D661">
        <v>2</v>
      </c>
      <c r="E661" t="s">
        <v>14</v>
      </c>
      <c r="F661">
        <v>1</v>
      </c>
      <c r="G661">
        <v>0</v>
      </c>
      <c r="H661">
        <v>2</v>
      </c>
    </row>
    <row r="662" spans="1:8" x14ac:dyDescent="0.3">
      <c r="A662">
        <v>3</v>
      </c>
      <c r="B662">
        <v>2</v>
      </c>
      <c r="C662">
        <v>1</v>
      </c>
      <c r="D662">
        <v>0</v>
      </c>
      <c r="E662" t="s">
        <v>14</v>
      </c>
      <c r="F662">
        <v>2</v>
      </c>
      <c r="G662">
        <v>1</v>
      </c>
      <c r="H662">
        <v>0</v>
      </c>
    </row>
    <row r="663" spans="1:8" x14ac:dyDescent="0.3">
      <c r="A663">
        <v>3</v>
      </c>
      <c r="B663">
        <v>1</v>
      </c>
      <c r="C663">
        <v>1</v>
      </c>
      <c r="D663">
        <v>1</v>
      </c>
      <c r="E663" t="s">
        <v>14</v>
      </c>
      <c r="F663">
        <v>0</v>
      </c>
      <c r="G663">
        <v>2</v>
      </c>
      <c r="H663">
        <v>1</v>
      </c>
    </row>
    <row r="664" spans="1:8" x14ac:dyDescent="0.3">
      <c r="A664">
        <v>3</v>
      </c>
      <c r="B664">
        <v>0</v>
      </c>
      <c r="C664">
        <v>2</v>
      </c>
      <c r="D664">
        <v>1</v>
      </c>
      <c r="E664" t="s">
        <v>14</v>
      </c>
      <c r="F664">
        <v>0</v>
      </c>
      <c r="G664">
        <v>2</v>
      </c>
      <c r="H664">
        <v>1</v>
      </c>
    </row>
    <row r="665" spans="1:8" x14ac:dyDescent="0.3">
      <c r="A665">
        <v>3</v>
      </c>
      <c r="B665">
        <v>1</v>
      </c>
      <c r="C665">
        <v>1</v>
      </c>
      <c r="D665">
        <v>1</v>
      </c>
      <c r="E665" t="s">
        <v>14</v>
      </c>
      <c r="F665">
        <v>1</v>
      </c>
      <c r="G665">
        <v>0</v>
      </c>
      <c r="H665">
        <v>2</v>
      </c>
    </row>
    <row r="666" spans="1:8" x14ac:dyDescent="0.3">
      <c r="A666">
        <v>3</v>
      </c>
      <c r="B666">
        <v>1</v>
      </c>
      <c r="C666">
        <v>1</v>
      </c>
      <c r="D666">
        <v>1</v>
      </c>
      <c r="E666" t="s">
        <v>14</v>
      </c>
      <c r="F666">
        <v>2</v>
      </c>
      <c r="G666">
        <v>1</v>
      </c>
      <c r="H666">
        <v>0</v>
      </c>
    </row>
    <row r="667" spans="1:8" x14ac:dyDescent="0.3">
      <c r="A667">
        <v>3</v>
      </c>
      <c r="B667">
        <v>1</v>
      </c>
      <c r="C667">
        <v>1</v>
      </c>
      <c r="D667">
        <v>1</v>
      </c>
      <c r="E667" t="s">
        <v>14</v>
      </c>
      <c r="F667">
        <v>0</v>
      </c>
      <c r="G667">
        <v>2</v>
      </c>
      <c r="H667">
        <v>1</v>
      </c>
    </row>
    <row r="668" spans="1:8" x14ac:dyDescent="0.3">
      <c r="A668">
        <v>3</v>
      </c>
      <c r="B668">
        <v>1</v>
      </c>
      <c r="C668">
        <v>1</v>
      </c>
      <c r="D668">
        <v>1</v>
      </c>
      <c r="E668" t="s">
        <v>14</v>
      </c>
      <c r="F668">
        <v>1</v>
      </c>
      <c r="G668">
        <v>0</v>
      </c>
      <c r="H668">
        <v>2</v>
      </c>
    </row>
    <row r="669" spans="1:8" x14ac:dyDescent="0.3">
      <c r="A669">
        <v>3</v>
      </c>
      <c r="B669">
        <v>2</v>
      </c>
      <c r="C669">
        <v>1</v>
      </c>
      <c r="D669">
        <v>0</v>
      </c>
      <c r="E669" t="s">
        <v>14</v>
      </c>
      <c r="F669">
        <v>2</v>
      </c>
      <c r="G669">
        <v>1</v>
      </c>
      <c r="H669">
        <v>0</v>
      </c>
    </row>
    <row r="670" spans="1:8" x14ac:dyDescent="0.3">
      <c r="A670">
        <v>3</v>
      </c>
      <c r="B670">
        <v>1</v>
      </c>
      <c r="C670">
        <v>1</v>
      </c>
      <c r="D670">
        <v>1</v>
      </c>
      <c r="E670" t="s">
        <v>14</v>
      </c>
      <c r="F670">
        <v>1</v>
      </c>
      <c r="G670">
        <v>1</v>
      </c>
      <c r="H670">
        <v>1</v>
      </c>
    </row>
    <row r="671" spans="1:8" x14ac:dyDescent="0.3">
      <c r="A671">
        <v>3</v>
      </c>
      <c r="B671">
        <v>1</v>
      </c>
      <c r="C671">
        <v>1</v>
      </c>
      <c r="D671">
        <v>1</v>
      </c>
      <c r="E671" t="s">
        <v>14</v>
      </c>
      <c r="F671">
        <v>1</v>
      </c>
      <c r="G671">
        <v>1</v>
      </c>
      <c r="H671">
        <v>1</v>
      </c>
    </row>
    <row r="672" spans="1:8" x14ac:dyDescent="0.3">
      <c r="A672">
        <v>3</v>
      </c>
      <c r="B672">
        <v>1</v>
      </c>
      <c r="C672">
        <v>0</v>
      </c>
      <c r="D672">
        <v>2</v>
      </c>
      <c r="E672" t="s">
        <v>14</v>
      </c>
      <c r="F672">
        <v>0</v>
      </c>
      <c r="G672">
        <v>2</v>
      </c>
      <c r="H672">
        <v>1</v>
      </c>
    </row>
    <row r="673" spans="1:8" x14ac:dyDescent="0.3">
      <c r="A673">
        <v>3</v>
      </c>
      <c r="B673">
        <v>1</v>
      </c>
      <c r="C673">
        <v>0</v>
      </c>
      <c r="D673">
        <v>2</v>
      </c>
      <c r="E673" t="s">
        <v>14</v>
      </c>
      <c r="F673">
        <v>1</v>
      </c>
      <c r="G673">
        <v>0</v>
      </c>
      <c r="H673">
        <v>2</v>
      </c>
    </row>
    <row r="674" spans="1:8" x14ac:dyDescent="0.3">
      <c r="A674">
        <v>3</v>
      </c>
      <c r="B674">
        <v>1</v>
      </c>
      <c r="C674">
        <v>1</v>
      </c>
      <c r="D674">
        <v>1</v>
      </c>
      <c r="E674" t="s">
        <v>14</v>
      </c>
      <c r="F674">
        <v>1</v>
      </c>
      <c r="G674">
        <v>1</v>
      </c>
      <c r="H674">
        <v>1</v>
      </c>
    </row>
    <row r="675" spans="1:8" x14ac:dyDescent="0.3">
      <c r="A675">
        <v>3</v>
      </c>
      <c r="B675">
        <v>1</v>
      </c>
      <c r="C675">
        <v>1</v>
      </c>
      <c r="D675">
        <v>1</v>
      </c>
      <c r="E675" t="s">
        <v>14</v>
      </c>
      <c r="F675">
        <v>1</v>
      </c>
      <c r="G675">
        <v>0</v>
      </c>
      <c r="H675">
        <v>2</v>
      </c>
    </row>
    <row r="676" spans="1:8" x14ac:dyDescent="0.3">
      <c r="A676">
        <v>3</v>
      </c>
      <c r="B676">
        <v>1</v>
      </c>
      <c r="C676">
        <v>1</v>
      </c>
      <c r="D676">
        <v>1</v>
      </c>
      <c r="E676" t="s">
        <v>14</v>
      </c>
      <c r="F676">
        <v>1</v>
      </c>
      <c r="G676">
        <v>1</v>
      </c>
      <c r="H676">
        <v>1</v>
      </c>
    </row>
    <row r="677" spans="1:8" x14ac:dyDescent="0.3">
      <c r="A677">
        <v>3</v>
      </c>
      <c r="B677">
        <v>2</v>
      </c>
      <c r="C677">
        <v>1</v>
      </c>
      <c r="D677">
        <v>0</v>
      </c>
      <c r="E677" t="s">
        <v>14</v>
      </c>
      <c r="F677">
        <v>2</v>
      </c>
      <c r="G677">
        <v>1</v>
      </c>
      <c r="H677">
        <v>0</v>
      </c>
    </row>
    <row r="678" spans="1:8" x14ac:dyDescent="0.3">
      <c r="A678">
        <v>4</v>
      </c>
      <c r="B678">
        <v>2</v>
      </c>
      <c r="C678">
        <v>1</v>
      </c>
      <c r="D678">
        <v>1</v>
      </c>
      <c r="E678" t="s">
        <v>14</v>
      </c>
      <c r="F678">
        <v>2</v>
      </c>
      <c r="G678">
        <v>2</v>
      </c>
      <c r="H678">
        <v>0</v>
      </c>
    </row>
    <row r="679" spans="1:8" x14ac:dyDescent="0.3">
      <c r="A679">
        <v>4</v>
      </c>
      <c r="B679">
        <v>2</v>
      </c>
      <c r="C679">
        <v>1</v>
      </c>
      <c r="D679">
        <v>1</v>
      </c>
      <c r="E679" t="s">
        <v>14</v>
      </c>
      <c r="F679">
        <v>2</v>
      </c>
      <c r="G679">
        <v>1</v>
      </c>
      <c r="H679">
        <v>1</v>
      </c>
    </row>
    <row r="680" spans="1:8" x14ac:dyDescent="0.3">
      <c r="A680">
        <v>4</v>
      </c>
      <c r="B680">
        <v>2</v>
      </c>
      <c r="C680">
        <v>1</v>
      </c>
      <c r="D680">
        <v>1</v>
      </c>
      <c r="E680" t="s">
        <v>14</v>
      </c>
      <c r="F680">
        <v>2</v>
      </c>
      <c r="G680">
        <v>1</v>
      </c>
      <c r="H680">
        <v>1</v>
      </c>
    </row>
    <row r="681" spans="1:8" x14ac:dyDescent="0.3">
      <c r="A681">
        <v>4</v>
      </c>
      <c r="B681">
        <v>2</v>
      </c>
      <c r="C681">
        <v>1</v>
      </c>
      <c r="D681">
        <v>1</v>
      </c>
      <c r="E681" t="s">
        <v>14</v>
      </c>
      <c r="F681">
        <v>2</v>
      </c>
      <c r="G681">
        <v>1</v>
      </c>
      <c r="H681">
        <v>1</v>
      </c>
    </row>
    <row r="682" spans="1:8" x14ac:dyDescent="0.3">
      <c r="A682">
        <v>4</v>
      </c>
      <c r="B682">
        <v>2</v>
      </c>
      <c r="C682">
        <v>1</v>
      </c>
      <c r="D682">
        <v>1</v>
      </c>
      <c r="E682" t="s">
        <v>14</v>
      </c>
      <c r="F682">
        <v>2</v>
      </c>
      <c r="G682">
        <v>1</v>
      </c>
      <c r="H682">
        <v>1</v>
      </c>
    </row>
    <row r="683" spans="1:8" x14ac:dyDescent="0.3">
      <c r="A683">
        <v>4</v>
      </c>
      <c r="B683">
        <v>2</v>
      </c>
      <c r="C683">
        <v>1</v>
      </c>
      <c r="D683">
        <v>1</v>
      </c>
      <c r="E683" t="s">
        <v>14</v>
      </c>
      <c r="F683">
        <v>2</v>
      </c>
      <c r="G683">
        <v>2</v>
      </c>
      <c r="H683">
        <v>0</v>
      </c>
    </row>
    <row r="684" spans="1:8" x14ac:dyDescent="0.3">
      <c r="A684">
        <v>4</v>
      </c>
      <c r="B684">
        <v>2</v>
      </c>
      <c r="C684">
        <v>1</v>
      </c>
      <c r="D684">
        <v>1</v>
      </c>
      <c r="E684" t="s">
        <v>14</v>
      </c>
      <c r="F684">
        <v>2</v>
      </c>
      <c r="G684">
        <v>1</v>
      </c>
      <c r="H684">
        <v>1</v>
      </c>
    </row>
    <row r="685" spans="1:8" x14ac:dyDescent="0.3">
      <c r="A685">
        <v>4</v>
      </c>
      <c r="B685">
        <v>1</v>
      </c>
      <c r="C685">
        <v>2</v>
      </c>
      <c r="D685">
        <v>1</v>
      </c>
      <c r="E685" t="s">
        <v>14</v>
      </c>
      <c r="F685">
        <v>2</v>
      </c>
      <c r="G685">
        <v>2</v>
      </c>
      <c r="H685">
        <v>0</v>
      </c>
    </row>
    <row r="686" spans="1:8" x14ac:dyDescent="0.3">
      <c r="A686">
        <v>5</v>
      </c>
      <c r="B686">
        <v>2</v>
      </c>
      <c r="C686">
        <v>2</v>
      </c>
      <c r="D686">
        <v>1</v>
      </c>
      <c r="E686" t="s">
        <v>14</v>
      </c>
      <c r="F686">
        <v>2</v>
      </c>
      <c r="G686">
        <v>2</v>
      </c>
      <c r="H686">
        <v>1</v>
      </c>
    </row>
    <row r="687" spans="1:8" x14ac:dyDescent="0.3">
      <c r="A687">
        <v>5</v>
      </c>
      <c r="B687">
        <v>2</v>
      </c>
      <c r="C687">
        <v>2</v>
      </c>
      <c r="D687">
        <v>1</v>
      </c>
      <c r="E687" t="s">
        <v>14</v>
      </c>
      <c r="F687">
        <v>0</v>
      </c>
      <c r="G687">
        <v>2</v>
      </c>
      <c r="H687">
        <v>3</v>
      </c>
    </row>
    <row r="688" spans="1:8" x14ac:dyDescent="0.3">
      <c r="A688">
        <v>5</v>
      </c>
      <c r="B688">
        <v>1</v>
      </c>
      <c r="C688">
        <v>2</v>
      </c>
      <c r="D688">
        <v>2</v>
      </c>
      <c r="E688" t="s">
        <v>14</v>
      </c>
      <c r="F688">
        <v>2</v>
      </c>
      <c r="G688">
        <v>3</v>
      </c>
      <c r="H688">
        <v>0</v>
      </c>
    </row>
    <row r="689" spans="1:8" x14ac:dyDescent="0.3">
      <c r="A689">
        <v>5</v>
      </c>
      <c r="B689">
        <v>1</v>
      </c>
      <c r="C689">
        <v>2</v>
      </c>
      <c r="D689">
        <v>2</v>
      </c>
      <c r="E689" t="s">
        <v>14</v>
      </c>
      <c r="F689">
        <v>1</v>
      </c>
      <c r="G689">
        <v>2</v>
      </c>
      <c r="H689">
        <v>2</v>
      </c>
    </row>
    <row r="690" spans="1:8" x14ac:dyDescent="0.3">
      <c r="A690">
        <v>6</v>
      </c>
      <c r="B690">
        <v>1</v>
      </c>
      <c r="C690">
        <v>2</v>
      </c>
      <c r="D690">
        <v>3</v>
      </c>
      <c r="E690" t="s">
        <v>14</v>
      </c>
      <c r="F690">
        <v>1</v>
      </c>
      <c r="G690">
        <v>2</v>
      </c>
      <c r="H690">
        <v>3</v>
      </c>
    </row>
    <row r="691" spans="1:8" x14ac:dyDescent="0.3">
      <c r="A691">
        <v>6</v>
      </c>
      <c r="B691">
        <v>2</v>
      </c>
      <c r="C691">
        <v>3</v>
      </c>
      <c r="D691">
        <v>1</v>
      </c>
      <c r="E691" t="s">
        <v>14</v>
      </c>
      <c r="F691">
        <v>2</v>
      </c>
      <c r="G691">
        <v>3</v>
      </c>
      <c r="H691">
        <v>1</v>
      </c>
    </row>
    <row r="692" spans="1:8" x14ac:dyDescent="0.3">
      <c r="A692">
        <v>7</v>
      </c>
      <c r="B692">
        <v>2</v>
      </c>
      <c r="C692">
        <v>2</v>
      </c>
      <c r="D692">
        <v>3</v>
      </c>
      <c r="E692" t="s">
        <v>14</v>
      </c>
      <c r="F692">
        <v>2</v>
      </c>
      <c r="G692">
        <v>2</v>
      </c>
      <c r="H692">
        <v>3</v>
      </c>
    </row>
    <row r="693" spans="1:8" x14ac:dyDescent="0.3">
      <c r="A693">
        <v>7</v>
      </c>
      <c r="B693">
        <v>3</v>
      </c>
      <c r="C693">
        <v>2</v>
      </c>
      <c r="D693">
        <v>2</v>
      </c>
      <c r="E693" t="s">
        <v>14</v>
      </c>
      <c r="F693">
        <v>3</v>
      </c>
      <c r="G693">
        <v>2</v>
      </c>
      <c r="H693">
        <v>2</v>
      </c>
    </row>
    <row r="694" spans="1:8" x14ac:dyDescent="0.3">
      <c r="A694">
        <v>7</v>
      </c>
      <c r="B694">
        <v>2</v>
      </c>
      <c r="C694">
        <v>3</v>
      </c>
      <c r="D694">
        <v>2</v>
      </c>
      <c r="E694" t="s">
        <v>14</v>
      </c>
      <c r="F694">
        <v>2</v>
      </c>
      <c r="G694">
        <v>3</v>
      </c>
      <c r="H694">
        <v>2</v>
      </c>
    </row>
    <row r="695" spans="1:8" x14ac:dyDescent="0.3">
      <c r="A695">
        <v>7</v>
      </c>
      <c r="B695">
        <v>2</v>
      </c>
      <c r="C695">
        <v>3</v>
      </c>
      <c r="D695">
        <v>2</v>
      </c>
      <c r="E695" t="s">
        <v>14</v>
      </c>
      <c r="F695">
        <v>2</v>
      </c>
      <c r="G695">
        <v>3</v>
      </c>
      <c r="H695">
        <v>2</v>
      </c>
    </row>
    <row r="696" spans="1:8" x14ac:dyDescent="0.3">
      <c r="A696">
        <v>7</v>
      </c>
      <c r="B696">
        <v>2</v>
      </c>
      <c r="C696">
        <v>2</v>
      </c>
      <c r="D696">
        <v>3</v>
      </c>
      <c r="E696" t="s">
        <v>14</v>
      </c>
      <c r="F696">
        <v>2</v>
      </c>
      <c r="G696">
        <v>2</v>
      </c>
      <c r="H696">
        <v>3</v>
      </c>
    </row>
    <row r="697" spans="1:8" x14ac:dyDescent="0.3">
      <c r="A697">
        <v>7</v>
      </c>
      <c r="B697">
        <v>2</v>
      </c>
      <c r="C697">
        <v>2</v>
      </c>
      <c r="D697">
        <v>3</v>
      </c>
      <c r="E697" t="s">
        <v>14</v>
      </c>
      <c r="F697">
        <v>2</v>
      </c>
      <c r="G697">
        <v>2</v>
      </c>
      <c r="H697">
        <v>3</v>
      </c>
    </row>
    <row r="698" spans="1:8" x14ac:dyDescent="0.3">
      <c r="A698">
        <v>7</v>
      </c>
      <c r="B698">
        <v>2</v>
      </c>
      <c r="C698">
        <v>3</v>
      </c>
      <c r="D698">
        <v>2</v>
      </c>
      <c r="E698" t="s">
        <v>14</v>
      </c>
      <c r="F698">
        <v>2</v>
      </c>
      <c r="G698">
        <v>3</v>
      </c>
      <c r="H698">
        <v>2</v>
      </c>
    </row>
    <row r="699" spans="1:8" x14ac:dyDescent="0.3">
      <c r="A699">
        <v>8</v>
      </c>
      <c r="B699">
        <v>3</v>
      </c>
      <c r="C699">
        <v>2</v>
      </c>
      <c r="D699">
        <v>3</v>
      </c>
      <c r="E699" t="s">
        <v>14</v>
      </c>
      <c r="F699">
        <v>3</v>
      </c>
      <c r="G699">
        <v>2</v>
      </c>
      <c r="H699">
        <v>3</v>
      </c>
    </row>
    <row r="700" spans="1:8" x14ac:dyDescent="0.3">
      <c r="A700">
        <v>8</v>
      </c>
      <c r="B700">
        <v>2</v>
      </c>
      <c r="C700">
        <v>3</v>
      </c>
      <c r="D700">
        <v>3</v>
      </c>
      <c r="E700" t="s">
        <v>14</v>
      </c>
      <c r="F700">
        <v>2</v>
      </c>
      <c r="G700">
        <v>3</v>
      </c>
      <c r="H700">
        <v>3</v>
      </c>
    </row>
    <row r="701" spans="1:8" x14ac:dyDescent="0.3">
      <c r="A701">
        <v>2</v>
      </c>
      <c r="B701">
        <v>1</v>
      </c>
      <c r="C701">
        <v>0</v>
      </c>
      <c r="D701">
        <v>1</v>
      </c>
      <c r="E701" t="s">
        <v>14</v>
      </c>
      <c r="F701">
        <v>1</v>
      </c>
      <c r="G701">
        <v>0</v>
      </c>
      <c r="H701">
        <v>1</v>
      </c>
    </row>
    <row r="702" spans="1:8" x14ac:dyDescent="0.3">
      <c r="A702">
        <v>2</v>
      </c>
      <c r="B702">
        <v>1</v>
      </c>
      <c r="C702">
        <v>1</v>
      </c>
      <c r="D702">
        <v>0</v>
      </c>
      <c r="E702" t="s">
        <v>14</v>
      </c>
      <c r="F702">
        <v>1</v>
      </c>
      <c r="G702">
        <v>1</v>
      </c>
      <c r="H702">
        <v>0</v>
      </c>
    </row>
    <row r="703" spans="1:8" x14ac:dyDescent="0.3">
      <c r="A703">
        <v>2</v>
      </c>
      <c r="B703">
        <v>1</v>
      </c>
      <c r="C703">
        <v>1</v>
      </c>
      <c r="D703">
        <v>0</v>
      </c>
      <c r="E703" t="s">
        <v>14</v>
      </c>
      <c r="F703">
        <v>0</v>
      </c>
      <c r="G703">
        <v>2</v>
      </c>
      <c r="H703">
        <v>0</v>
      </c>
    </row>
    <row r="704" spans="1:8" x14ac:dyDescent="0.3">
      <c r="A704">
        <v>2</v>
      </c>
      <c r="B704">
        <v>1</v>
      </c>
      <c r="C704">
        <v>1</v>
      </c>
      <c r="D704">
        <v>0</v>
      </c>
      <c r="E704" t="s">
        <v>14</v>
      </c>
      <c r="F704">
        <v>0</v>
      </c>
      <c r="G704">
        <v>0</v>
      </c>
      <c r="H704">
        <v>2</v>
      </c>
    </row>
    <row r="705" spans="1:8" x14ac:dyDescent="0.3">
      <c r="A705">
        <v>2</v>
      </c>
      <c r="B705">
        <v>1</v>
      </c>
      <c r="C705">
        <v>1</v>
      </c>
      <c r="D705">
        <v>0</v>
      </c>
      <c r="E705" t="s">
        <v>14</v>
      </c>
      <c r="F705">
        <v>1</v>
      </c>
      <c r="G705">
        <v>1</v>
      </c>
      <c r="H705">
        <v>0</v>
      </c>
    </row>
    <row r="706" spans="1:8" x14ac:dyDescent="0.3">
      <c r="A706">
        <v>2</v>
      </c>
      <c r="B706">
        <v>1</v>
      </c>
      <c r="C706">
        <v>0</v>
      </c>
      <c r="D706">
        <v>1</v>
      </c>
      <c r="E706" t="s">
        <v>14</v>
      </c>
      <c r="F706">
        <v>2</v>
      </c>
      <c r="G706">
        <v>0</v>
      </c>
      <c r="H706">
        <v>0</v>
      </c>
    </row>
    <row r="707" spans="1:8" x14ac:dyDescent="0.3">
      <c r="A707">
        <v>3</v>
      </c>
      <c r="B707">
        <v>2</v>
      </c>
      <c r="C707">
        <v>1</v>
      </c>
      <c r="D707">
        <v>0</v>
      </c>
      <c r="E707" t="s">
        <v>14</v>
      </c>
      <c r="F707">
        <v>2</v>
      </c>
      <c r="G707">
        <v>1</v>
      </c>
      <c r="H707">
        <v>0</v>
      </c>
    </row>
    <row r="708" spans="1:8" x14ac:dyDescent="0.3">
      <c r="A708">
        <v>3</v>
      </c>
      <c r="B708">
        <v>1</v>
      </c>
      <c r="C708">
        <v>1</v>
      </c>
      <c r="D708">
        <v>1</v>
      </c>
      <c r="E708" t="s">
        <v>14</v>
      </c>
      <c r="F708">
        <v>1</v>
      </c>
      <c r="G708">
        <v>1</v>
      </c>
      <c r="H708">
        <v>1</v>
      </c>
    </row>
    <row r="709" spans="1:8" x14ac:dyDescent="0.3">
      <c r="A709">
        <v>3</v>
      </c>
      <c r="B709">
        <v>2</v>
      </c>
      <c r="C709">
        <v>1</v>
      </c>
      <c r="D709">
        <v>0</v>
      </c>
      <c r="E709" t="s">
        <v>14</v>
      </c>
      <c r="F709">
        <v>1</v>
      </c>
      <c r="G709">
        <v>0</v>
      </c>
      <c r="H709">
        <v>2</v>
      </c>
    </row>
    <row r="710" spans="1:8" x14ac:dyDescent="0.3">
      <c r="A710">
        <v>3</v>
      </c>
      <c r="B710">
        <v>1</v>
      </c>
      <c r="C710">
        <v>1</v>
      </c>
      <c r="D710">
        <v>1</v>
      </c>
      <c r="E710" t="s">
        <v>14</v>
      </c>
      <c r="F710">
        <v>1</v>
      </c>
      <c r="G710">
        <v>0</v>
      </c>
      <c r="H710">
        <v>2</v>
      </c>
    </row>
    <row r="711" spans="1:8" x14ac:dyDescent="0.3">
      <c r="A711">
        <v>3</v>
      </c>
      <c r="B711">
        <v>1</v>
      </c>
      <c r="C711">
        <v>1</v>
      </c>
      <c r="D711">
        <v>1</v>
      </c>
      <c r="E711" t="s">
        <v>14</v>
      </c>
      <c r="F711">
        <v>1</v>
      </c>
      <c r="G711">
        <v>1</v>
      </c>
      <c r="H711">
        <v>1</v>
      </c>
    </row>
    <row r="712" spans="1:8" x14ac:dyDescent="0.3">
      <c r="A712">
        <v>3</v>
      </c>
      <c r="B712">
        <v>1</v>
      </c>
      <c r="C712">
        <v>1</v>
      </c>
      <c r="D712">
        <v>1</v>
      </c>
      <c r="E712" t="s">
        <v>14</v>
      </c>
      <c r="F712">
        <v>1</v>
      </c>
      <c r="G712">
        <v>0</v>
      </c>
      <c r="H712">
        <v>2</v>
      </c>
    </row>
    <row r="713" spans="1:8" x14ac:dyDescent="0.3">
      <c r="A713">
        <v>3</v>
      </c>
      <c r="B713">
        <v>0</v>
      </c>
      <c r="C713">
        <v>2</v>
      </c>
      <c r="D713">
        <v>1</v>
      </c>
      <c r="E713" t="s">
        <v>14</v>
      </c>
      <c r="F713">
        <v>0</v>
      </c>
      <c r="G713">
        <v>2</v>
      </c>
      <c r="H713">
        <v>1</v>
      </c>
    </row>
    <row r="714" spans="1:8" x14ac:dyDescent="0.3">
      <c r="A714">
        <v>3</v>
      </c>
      <c r="B714">
        <v>1</v>
      </c>
      <c r="C714">
        <v>1</v>
      </c>
      <c r="D714">
        <v>1</v>
      </c>
      <c r="E714" t="s">
        <v>14</v>
      </c>
      <c r="F714">
        <v>2</v>
      </c>
      <c r="G714">
        <v>1</v>
      </c>
      <c r="H714">
        <v>0</v>
      </c>
    </row>
    <row r="715" spans="1:8" x14ac:dyDescent="0.3">
      <c r="A715">
        <v>3</v>
      </c>
      <c r="B715">
        <v>2</v>
      </c>
      <c r="C715">
        <v>1</v>
      </c>
      <c r="D715">
        <v>0</v>
      </c>
      <c r="E715" t="s">
        <v>14</v>
      </c>
      <c r="F715">
        <v>2</v>
      </c>
      <c r="G715">
        <v>1</v>
      </c>
      <c r="H715">
        <v>0</v>
      </c>
    </row>
    <row r="716" spans="1:8" x14ac:dyDescent="0.3">
      <c r="A716">
        <v>3</v>
      </c>
      <c r="B716">
        <v>1</v>
      </c>
      <c r="C716">
        <v>1</v>
      </c>
      <c r="D716">
        <v>1</v>
      </c>
      <c r="E716" t="s">
        <v>14</v>
      </c>
      <c r="F716">
        <v>1</v>
      </c>
      <c r="G716">
        <v>1</v>
      </c>
      <c r="H716">
        <v>1</v>
      </c>
    </row>
    <row r="717" spans="1:8" x14ac:dyDescent="0.3">
      <c r="A717">
        <v>3</v>
      </c>
      <c r="B717">
        <v>1</v>
      </c>
      <c r="C717">
        <v>1</v>
      </c>
      <c r="D717">
        <v>1</v>
      </c>
      <c r="E717" t="s">
        <v>14</v>
      </c>
      <c r="F717">
        <v>1</v>
      </c>
      <c r="G717">
        <v>1</v>
      </c>
      <c r="H717">
        <v>1</v>
      </c>
    </row>
    <row r="718" spans="1:8" x14ac:dyDescent="0.3">
      <c r="A718">
        <v>3</v>
      </c>
      <c r="B718">
        <v>1</v>
      </c>
      <c r="C718">
        <v>0</v>
      </c>
      <c r="D718">
        <v>2</v>
      </c>
      <c r="E718" t="s">
        <v>14</v>
      </c>
      <c r="F718">
        <v>1</v>
      </c>
      <c r="G718">
        <v>0</v>
      </c>
      <c r="H718">
        <v>2</v>
      </c>
    </row>
    <row r="719" spans="1:8" x14ac:dyDescent="0.3">
      <c r="A719">
        <v>3</v>
      </c>
      <c r="B719">
        <v>0</v>
      </c>
      <c r="C719">
        <v>2</v>
      </c>
      <c r="D719">
        <v>1</v>
      </c>
      <c r="E719" t="s">
        <v>14</v>
      </c>
      <c r="F719">
        <v>2</v>
      </c>
      <c r="G719">
        <v>1</v>
      </c>
      <c r="H719">
        <v>0</v>
      </c>
    </row>
    <row r="720" spans="1:8" x14ac:dyDescent="0.3">
      <c r="A720">
        <v>3</v>
      </c>
      <c r="B720">
        <v>1</v>
      </c>
      <c r="C720">
        <v>1</v>
      </c>
      <c r="D720">
        <v>1</v>
      </c>
      <c r="E720" t="s">
        <v>14</v>
      </c>
      <c r="F720">
        <v>1</v>
      </c>
      <c r="G720">
        <v>0</v>
      </c>
      <c r="H720">
        <v>2</v>
      </c>
    </row>
    <row r="721" spans="1:8" x14ac:dyDescent="0.3">
      <c r="A721">
        <v>3</v>
      </c>
      <c r="B721">
        <v>1</v>
      </c>
      <c r="C721">
        <v>1</v>
      </c>
      <c r="D721">
        <v>1</v>
      </c>
      <c r="E721" t="s">
        <v>14</v>
      </c>
      <c r="F721">
        <v>2</v>
      </c>
      <c r="G721">
        <v>1</v>
      </c>
      <c r="H721">
        <v>0</v>
      </c>
    </row>
    <row r="722" spans="1:8" x14ac:dyDescent="0.3">
      <c r="A722">
        <v>3</v>
      </c>
      <c r="B722">
        <v>1</v>
      </c>
      <c r="C722">
        <v>1</v>
      </c>
      <c r="D722">
        <v>1</v>
      </c>
      <c r="E722" t="s">
        <v>14</v>
      </c>
      <c r="F722">
        <v>2</v>
      </c>
      <c r="G722">
        <v>1</v>
      </c>
      <c r="H722">
        <v>0</v>
      </c>
    </row>
    <row r="723" spans="1:8" x14ac:dyDescent="0.3">
      <c r="A723">
        <v>3</v>
      </c>
      <c r="B723">
        <v>1</v>
      </c>
      <c r="C723">
        <v>1</v>
      </c>
      <c r="D723">
        <v>1</v>
      </c>
      <c r="E723" t="s">
        <v>14</v>
      </c>
      <c r="F723">
        <v>0</v>
      </c>
      <c r="G723">
        <v>2</v>
      </c>
      <c r="H723">
        <v>1</v>
      </c>
    </row>
    <row r="724" spans="1:8" x14ac:dyDescent="0.3">
      <c r="A724">
        <v>3</v>
      </c>
      <c r="B724">
        <v>1</v>
      </c>
      <c r="C724">
        <v>1</v>
      </c>
      <c r="D724">
        <v>1</v>
      </c>
      <c r="E724" t="s">
        <v>14</v>
      </c>
      <c r="F724">
        <v>2</v>
      </c>
      <c r="G724">
        <v>1</v>
      </c>
      <c r="H724">
        <v>0</v>
      </c>
    </row>
    <row r="725" spans="1:8" x14ac:dyDescent="0.3">
      <c r="A725">
        <v>3</v>
      </c>
      <c r="B725">
        <v>1</v>
      </c>
      <c r="C725">
        <v>1</v>
      </c>
      <c r="D725">
        <v>1</v>
      </c>
      <c r="E725" t="s">
        <v>14</v>
      </c>
      <c r="F725">
        <v>1</v>
      </c>
      <c r="G725">
        <v>1</v>
      </c>
      <c r="H725">
        <v>1</v>
      </c>
    </row>
    <row r="726" spans="1:8" x14ac:dyDescent="0.3">
      <c r="A726">
        <v>3</v>
      </c>
      <c r="B726">
        <v>1</v>
      </c>
      <c r="C726">
        <v>1</v>
      </c>
      <c r="D726">
        <v>1</v>
      </c>
      <c r="E726" t="s">
        <v>14</v>
      </c>
      <c r="F726">
        <v>2</v>
      </c>
      <c r="G726">
        <v>1</v>
      </c>
      <c r="H726">
        <v>0</v>
      </c>
    </row>
    <row r="727" spans="1:8" x14ac:dyDescent="0.3">
      <c r="A727">
        <v>3</v>
      </c>
      <c r="B727">
        <v>1</v>
      </c>
      <c r="C727">
        <v>1</v>
      </c>
      <c r="D727">
        <v>1</v>
      </c>
      <c r="E727" t="s">
        <v>14</v>
      </c>
      <c r="F727">
        <v>1</v>
      </c>
      <c r="G727">
        <v>1</v>
      </c>
      <c r="H727">
        <v>1</v>
      </c>
    </row>
    <row r="728" spans="1:8" x14ac:dyDescent="0.3">
      <c r="A728">
        <v>3</v>
      </c>
      <c r="B728">
        <v>1</v>
      </c>
      <c r="C728">
        <v>1</v>
      </c>
      <c r="D728">
        <v>1</v>
      </c>
      <c r="E728" t="s">
        <v>14</v>
      </c>
      <c r="F728">
        <v>2</v>
      </c>
      <c r="G728">
        <v>1</v>
      </c>
      <c r="H728">
        <v>0</v>
      </c>
    </row>
    <row r="729" spans="1:8" x14ac:dyDescent="0.3">
      <c r="A729">
        <v>3</v>
      </c>
      <c r="B729">
        <v>1</v>
      </c>
      <c r="C729">
        <v>1</v>
      </c>
      <c r="D729">
        <v>1</v>
      </c>
      <c r="E729" t="s">
        <v>14</v>
      </c>
      <c r="F729">
        <v>0</v>
      </c>
      <c r="G729">
        <v>2</v>
      </c>
      <c r="H729">
        <v>1</v>
      </c>
    </row>
    <row r="730" spans="1:8" x14ac:dyDescent="0.3">
      <c r="A730">
        <v>3</v>
      </c>
      <c r="B730">
        <v>1</v>
      </c>
      <c r="C730">
        <v>0</v>
      </c>
      <c r="D730">
        <v>2</v>
      </c>
      <c r="E730" t="s">
        <v>14</v>
      </c>
      <c r="F730">
        <v>1</v>
      </c>
      <c r="G730">
        <v>0</v>
      </c>
      <c r="H730">
        <v>2</v>
      </c>
    </row>
    <row r="731" spans="1:8" x14ac:dyDescent="0.3">
      <c r="A731">
        <v>3</v>
      </c>
      <c r="B731">
        <v>0</v>
      </c>
      <c r="C731">
        <v>2</v>
      </c>
      <c r="D731">
        <v>1</v>
      </c>
      <c r="E731" t="s">
        <v>14</v>
      </c>
      <c r="F731">
        <v>0</v>
      </c>
      <c r="G731">
        <v>2</v>
      </c>
      <c r="H731">
        <v>1</v>
      </c>
    </row>
    <row r="732" spans="1:8" x14ac:dyDescent="0.3">
      <c r="A732">
        <v>3</v>
      </c>
      <c r="B732">
        <v>2</v>
      </c>
      <c r="C732">
        <v>1</v>
      </c>
      <c r="D732">
        <v>0</v>
      </c>
      <c r="E732" t="s">
        <v>14</v>
      </c>
      <c r="F732">
        <v>2</v>
      </c>
      <c r="G732">
        <v>1</v>
      </c>
      <c r="H732">
        <v>0</v>
      </c>
    </row>
    <row r="733" spans="1:8" x14ac:dyDescent="0.3">
      <c r="A733">
        <v>3</v>
      </c>
      <c r="B733">
        <v>1</v>
      </c>
      <c r="C733">
        <v>1</v>
      </c>
      <c r="D733">
        <v>1</v>
      </c>
      <c r="E733" t="s">
        <v>14</v>
      </c>
      <c r="F733">
        <v>0</v>
      </c>
      <c r="G733">
        <v>2</v>
      </c>
      <c r="H733">
        <v>1</v>
      </c>
    </row>
    <row r="734" spans="1:8" x14ac:dyDescent="0.3">
      <c r="A734">
        <v>3</v>
      </c>
      <c r="B734">
        <v>1</v>
      </c>
      <c r="C734">
        <v>1</v>
      </c>
      <c r="D734">
        <v>1</v>
      </c>
      <c r="E734" t="s">
        <v>14</v>
      </c>
      <c r="F734">
        <v>1</v>
      </c>
      <c r="G734">
        <v>1</v>
      </c>
      <c r="H734">
        <v>1</v>
      </c>
    </row>
    <row r="735" spans="1:8" x14ac:dyDescent="0.3">
      <c r="A735">
        <v>3</v>
      </c>
      <c r="B735">
        <v>1</v>
      </c>
      <c r="C735">
        <v>1</v>
      </c>
      <c r="D735">
        <v>1</v>
      </c>
      <c r="E735" t="s">
        <v>14</v>
      </c>
      <c r="F735">
        <v>0</v>
      </c>
      <c r="G735">
        <v>2</v>
      </c>
      <c r="H735">
        <v>1</v>
      </c>
    </row>
    <row r="736" spans="1:8" x14ac:dyDescent="0.3">
      <c r="A736">
        <v>3</v>
      </c>
      <c r="B736">
        <v>1</v>
      </c>
      <c r="C736">
        <v>1</v>
      </c>
      <c r="D736">
        <v>1</v>
      </c>
      <c r="E736" t="s">
        <v>14</v>
      </c>
      <c r="F736">
        <v>1</v>
      </c>
      <c r="G736">
        <v>1</v>
      </c>
      <c r="H736">
        <v>1</v>
      </c>
    </row>
    <row r="737" spans="1:8" x14ac:dyDescent="0.3">
      <c r="A737">
        <v>3</v>
      </c>
      <c r="B737">
        <v>1</v>
      </c>
      <c r="C737">
        <v>1</v>
      </c>
      <c r="D737">
        <v>1</v>
      </c>
      <c r="E737" t="s">
        <v>14</v>
      </c>
      <c r="F737">
        <v>2</v>
      </c>
      <c r="G737">
        <v>1</v>
      </c>
      <c r="H737">
        <v>0</v>
      </c>
    </row>
    <row r="738" spans="1:8" x14ac:dyDescent="0.3">
      <c r="A738">
        <v>3</v>
      </c>
      <c r="B738">
        <v>1</v>
      </c>
      <c r="C738">
        <v>1</v>
      </c>
      <c r="D738">
        <v>1</v>
      </c>
      <c r="E738" t="s">
        <v>14</v>
      </c>
      <c r="F738">
        <v>1</v>
      </c>
      <c r="G738">
        <v>1</v>
      </c>
      <c r="H738">
        <v>1</v>
      </c>
    </row>
    <row r="739" spans="1:8" x14ac:dyDescent="0.3">
      <c r="A739">
        <v>3</v>
      </c>
      <c r="B739">
        <v>1</v>
      </c>
      <c r="C739">
        <v>1</v>
      </c>
      <c r="D739">
        <v>1</v>
      </c>
      <c r="E739" t="s">
        <v>14</v>
      </c>
      <c r="F739">
        <v>1</v>
      </c>
      <c r="G739">
        <v>0</v>
      </c>
      <c r="H739">
        <v>2</v>
      </c>
    </row>
    <row r="740" spans="1:8" x14ac:dyDescent="0.3">
      <c r="A740">
        <v>3</v>
      </c>
      <c r="B740">
        <v>1</v>
      </c>
      <c r="C740">
        <v>1</v>
      </c>
      <c r="D740">
        <v>1</v>
      </c>
      <c r="E740" t="s">
        <v>14</v>
      </c>
      <c r="F740">
        <v>1</v>
      </c>
      <c r="G740">
        <v>1</v>
      </c>
      <c r="H740">
        <v>1</v>
      </c>
    </row>
    <row r="741" spans="1:8" x14ac:dyDescent="0.3">
      <c r="A741">
        <v>3</v>
      </c>
      <c r="B741">
        <v>1</v>
      </c>
      <c r="C741">
        <v>0</v>
      </c>
      <c r="D741">
        <v>2</v>
      </c>
      <c r="E741" t="s">
        <v>14</v>
      </c>
      <c r="F741">
        <v>1</v>
      </c>
      <c r="G741">
        <v>0</v>
      </c>
      <c r="H741">
        <v>2</v>
      </c>
    </row>
    <row r="742" spans="1:8" x14ac:dyDescent="0.3">
      <c r="A742">
        <v>3</v>
      </c>
      <c r="B742">
        <v>1</v>
      </c>
      <c r="C742">
        <v>1</v>
      </c>
      <c r="D742">
        <v>1</v>
      </c>
      <c r="E742" t="s">
        <v>14</v>
      </c>
      <c r="F742">
        <v>2</v>
      </c>
      <c r="G742">
        <v>1</v>
      </c>
      <c r="H742">
        <v>0</v>
      </c>
    </row>
    <row r="743" spans="1:8" x14ac:dyDescent="0.3">
      <c r="A743">
        <v>3</v>
      </c>
      <c r="B743">
        <v>1</v>
      </c>
      <c r="C743">
        <v>1</v>
      </c>
      <c r="D743">
        <v>1</v>
      </c>
      <c r="E743" t="s">
        <v>14</v>
      </c>
      <c r="F743">
        <v>1</v>
      </c>
      <c r="G743">
        <v>1</v>
      </c>
      <c r="H743">
        <v>1</v>
      </c>
    </row>
    <row r="744" spans="1:8" x14ac:dyDescent="0.3">
      <c r="A744">
        <v>3</v>
      </c>
      <c r="B744">
        <v>1</v>
      </c>
      <c r="C744">
        <v>1</v>
      </c>
      <c r="D744">
        <v>1</v>
      </c>
      <c r="E744" t="s">
        <v>14</v>
      </c>
      <c r="F744">
        <v>0</v>
      </c>
      <c r="G744">
        <v>2</v>
      </c>
      <c r="H744">
        <v>1</v>
      </c>
    </row>
    <row r="745" spans="1:8" x14ac:dyDescent="0.3">
      <c r="A745">
        <v>3</v>
      </c>
      <c r="B745">
        <v>1</v>
      </c>
      <c r="C745">
        <v>1</v>
      </c>
      <c r="D745">
        <v>1</v>
      </c>
      <c r="E745" t="s">
        <v>14</v>
      </c>
      <c r="F745">
        <v>0</v>
      </c>
      <c r="G745">
        <v>2</v>
      </c>
      <c r="H745">
        <v>1</v>
      </c>
    </row>
    <row r="746" spans="1:8" x14ac:dyDescent="0.3">
      <c r="A746">
        <v>3</v>
      </c>
      <c r="B746">
        <v>2</v>
      </c>
      <c r="C746">
        <v>1</v>
      </c>
      <c r="D746">
        <v>0</v>
      </c>
      <c r="E746" t="s">
        <v>14</v>
      </c>
      <c r="F746">
        <v>2</v>
      </c>
      <c r="G746">
        <v>1</v>
      </c>
      <c r="H746">
        <v>0</v>
      </c>
    </row>
    <row r="747" spans="1:8" x14ac:dyDescent="0.3">
      <c r="A747">
        <v>3</v>
      </c>
      <c r="B747">
        <v>2</v>
      </c>
      <c r="C747">
        <v>1</v>
      </c>
      <c r="D747">
        <v>0</v>
      </c>
      <c r="E747" t="s">
        <v>14</v>
      </c>
      <c r="F747">
        <v>0</v>
      </c>
      <c r="G747">
        <v>2</v>
      </c>
      <c r="H747">
        <v>1</v>
      </c>
    </row>
    <row r="748" spans="1:8" x14ac:dyDescent="0.3">
      <c r="A748">
        <v>4</v>
      </c>
      <c r="B748">
        <v>2</v>
      </c>
      <c r="C748">
        <v>1</v>
      </c>
      <c r="D748">
        <v>1</v>
      </c>
      <c r="E748" t="s">
        <v>14</v>
      </c>
      <c r="F748">
        <v>0</v>
      </c>
      <c r="G748">
        <v>2</v>
      </c>
      <c r="H748">
        <v>2</v>
      </c>
    </row>
    <row r="749" spans="1:8" x14ac:dyDescent="0.3">
      <c r="A749">
        <v>4</v>
      </c>
      <c r="B749">
        <v>1</v>
      </c>
      <c r="C749">
        <v>1</v>
      </c>
      <c r="D749">
        <v>2</v>
      </c>
      <c r="E749" t="s">
        <v>14</v>
      </c>
      <c r="F749">
        <v>0</v>
      </c>
      <c r="G749">
        <v>2</v>
      </c>
      <c r="H749">
        <v>2</v>
      </c>
    </row>
    <row r="750" spans="1:8" x14ac:dyDescent="0.3">
      <c r="A750">
        <v>4</v>
      </c>
      <c r="B750">
        <v>2</v>
      </c>
      <c r="C750">
        <v>1</v>
      </c>
      <c r="D750">
        <v>1</v>
      </c>
      <c r="E750" t="s">
        <v>14</v>
      </c>
      <c r="F750">
        <v>2</v>
      </c>
      <c r="G750">
        <v>1</v>
      </c>
      <c r="H750">
        <v>1</v>
      </c>
    </row>
    <row r="751" spans="1:8" x14ac:dyDescent="0.3">
      <c r="A751">
        <v>4</v>
      </c>
      <c r="B751">
        <v>2</v>
      </c>
      <c r="C751">
        <v>1</v>
      </c>
      <c r="D751">
        <v>1</v>
      </c>
      <c r="E751" t="s">
        <v>14</v>
      </c>
      <c r="F751">
        <v>2</v>
      </c>
      <c r="G751">
        <v>1</v>
      </c>
      <c r="H751">
        <v>1</v>
      </c>
    </row>
    <row r="752" spans="1:8" x14ac:dyDescent="0.3">
      <c r="A752">
        <v>4</v>
      </c>
      <c r="B752">
        <v>1</v>
      </c>
      <c r="C752">
        <v>1</v>
      </c>
      <c r="D752">
        <v>2</v>
      </c>
      <c r="E752" t="s">
        <v>14</v>
      </c>
      <c r="F752">
        <v>1</v>
      </c>
      <c r="G752">
        <v>1</v>
      </c>
      <c r="H752">
        <v>2</v>
      </c>
    </row>
    <row r="753" spans="1:8" x14ac:dyDescent="0.3">
      <c r="A753">
        <v>4</v>
      </c>
      <c r="B753">
        <v>2</v>
      </c>
      <c r="C753">
        <v>1</v>
      </c>
      <c r="D753">
        <v>1</v>
      </c>
      <c r="E753" t="s">
        <v>14</v>
      </c>
      <c r="F753">
        <v>0</v>
      </c>
      <c r="G753">
        <v>2</v>
      </c>
      <c r="H753">
        <v>2</v>
      </c>
    </row>
    <row r="754" spans="1:8" x14ac:dyDescent="0.3">
      <c r="A754">
        <v>4</v>
      </c>
      <c r="B754">
        <v>1</v>
      </c>
      <c r="C754">
        <v>2</v>
      </c>
      <c r="D754">
        <v>1</v>
      </c>
      <c r="E754" t="s">
        <v>14</v>
      </c>
      <c r="F754">
        <v>0</v>
      </c>
      <c r="G754">
        <v>2</v>
      </c>
      <c r="H754">
        <v>2</v>
      </c>
    </row>
    <row r="755" spans="1:8" x14ac:dyDescent="0.3">
      <c r="A755">
        <v>4</v>
      </c>
      <c r="B755">
        <v>1</v>
      </c>
      <c r="C755">
        <v>2</v>
      </c>
      <c r="D755">
        <v>1</v>
      </c>
      <c r="E755" t="s">
        <v>14</v>
      </c>
      <c r="F755">
        <v>1</v>
      </c>
      <c r="G755">
        <v>2</v>
      </c>
      <c r="H755">
        <v>1</v>
      </c>
    </row>
    <row r="756" spans="1:8" x14ac:dyDescent="0.3">
      <c r="A756">
        <v>4</v>
      </c>
      <c r="B756">
        <v>1</v>
      </c>
      <c r="C756">
        <v>1</v>
      </c>
      <c r="D756">
        <v>2</v>
      </c>
      <c r="E756" t="s">
        <v>14</v>
      </c>
      <c r="F756">
        <v>1</v>
      </c>
      <c r="G756">
        <v>1</v>
      </c>
      <c r="H756">
        <v>2</v>
      </c>
    </row>
    <row r="757" spans="1:8" x14ac:dyDescent="0.3">
      <c r="A757">
        <v>4</v>
      </c>
      <c r="B757">
        <v>2</v>
      </c>
      <c r="C757">
        <v>1</v>
      </c>
      <c r="D757">
        <v>1</v>
      </c>
      <c r="E757" t="s">
        <v>14</v>
      </c>
      <c r="F757">
        <v>2</v>
      </c>
      <c r="G757">
        <v>1</v>
      </c>
      <c r="H757">
        <v>1</v>
      </c>
    </row>
    <row r="758" spans="1:8" x14ac:dyDescent="0.3">
      <c r="A758">
        <v>5</v>
      </c>
      <c r="B758">
        <v>1</v>
      </c>
      <c r="C758">
        <v>2</v>
      </c>
      <c r="D758">
        <v>2</v>
      </c>
      <c r="E758" t="s">
        <v>14</v>
      </c>
      <c r="F758">
        <v>0</v>
      </c>
      <c r="G758">
        <v>2</v>
      </c>
      <c r="H758">
        <v>3</v>
      </c>
    </row>
    <row r="759" spans="1:8" x14ac:dyDescent="0.3">
      <c r="A759">
        <v>5</v>
      </c>
      <c r="B759">
        <v>2</v>
      </c>
      <c r="C759">
        <v>1</v>
      </c>
      <c r="D759">
        <v>2</v>
      </c>
      <c r="E759" t="s">
        <v>14</v>
      </c>
      <c r="F759">
        <v>3</v>
      </c>
      <c r="G759">
        <v>0</v>
      </c>
      <c r="H759">
        <v>2</v>
      </c>
    </row>
    <row r="760" spans="1:8" x14ac:dyDescent="0.3">
      <c r="A760">
        <v>5</v>
      </c>
      <c r="B760">
        <v>1</v>
      </c>
      <c r="C760">
        <v>2</v>
      </c>
      <c r="D760">
        <v>2</v>
      </c>
      <c r="E760" t="s">
        <v>14</v>
      </c>
      <c r="F760">
        <v>2</v>
      </c>
      <c r="G760">
        <v>3</v>
      </c>
      <c r="H760">
        <v>0</v>
      </c>
    </row>
    <row r="761" spans="1:8" x14ac:dyDescent="0.3">
      <c r="A761">
        <v>5</v>
      </c>
      <c r="B761">
        <v>2</v>
      </c>
      <c r="C761">
        <v>2</v>
      </c>
      <c r="D761">
        <v>1</v>
      </c>
      <c r="E761" t="s">
        <v>14</v>
      </c>
      <c r="F761">
        <v>2</v>
      </c>
      <c r="G761">
        <v>3</v>
      </c>
      <c r="H761">
        <v>0</v>
      </c>
    </row>
    <row r="762" spans="1:8" x14ac:dyDescent="0.3">
      <c r="A762">
        <v>5</v>
      </c>
      <c r="B762">
        <v>2</v>
      </c>
      <c r="C762">
        <v>1</v>
      </c>
      <c r="D762">
        <v>2</v>
      </c>
      <c r="E762" t="s">
        <v>14</v>
      </c>
      <c r="F762">
        <v>2</v>
      </c>
      <c r="G762">
        <v>3</v>
      </c>
      <c r="H762">
        <v>0</v>
      </c>
    </row>
    <row r="763" spans="1:8" x14ac:dyDescent="0.3">
      <c r="A763">
        <v>5</v>
      </c>
      <c r="B763">
        <v>2</v>
      </c>
      <c r="C763">
        <v>2</v>
      </c>
      <c r="D763">
        <v>1</v>
      </c>
      <c r="E763" t="s">
        <v>14</v>
      </c>
      <c r="F763">
        <v>0</v>
      </c>
      <c r="G763">
        <v>2</v>
      </c>
      <c r="H763">
        <v>3</v>
      </c>
    </row>
    <row r="764" spans="1:8" x14ac:dyDescent="0.3">
      <c r="A764">
        <v>6</v>
      </c>
      <c r="B764">
        <v>2</v>
      </c>
      <c r="C764">
        <v>2</v>
      </c>
      <c r="D764">
        <v>2</v>
      </c>
      <c r="E764" t="s">
        <v>14</v>
      </c>
      <c r="F764">
        <v>2</v>
      </c>
      <c r="G764">
        <v>2</v>
      </c>
      <c r="H764">
        <v>2</v>
      </c>
    </row>
    <row r="765" spans="1:8" x14ac:dyDescent="0.3">
      <c r="A765">
        <v>6</v>
      </c>
      <c r="B765">
        <v>1</v>
      </c>
      <c r="C765">
        <v>2</v>
      </c>
      <c r="D765">
        <v>3</v>
      </c>
      <c r="E765" t="s">
        <v>14</v>
      </c>
      <c r="F765">
        <v>1</v>
      </c>
      <c r="G765">
        <v>2</v>
      </c>
      <c r="H765">
        <v>3</v>
      </c>
    </row>
    <row r="766" spans="1:8" x14ac:dyDescent="0.3">
      <c r="A766">
        <v>6</v>
      </c>
      <c r="B766">
        <v>1</v>
      </c>
      <c r="C766">
        <v>2</v>
      </c>
      <c r="D766">
        <v>3</v>
      </c>
      <c r="E766" t="s">
        <v>14</v>
      </c>
      <c r="F766">
        <v>1</v>
      </c>
      <c r="G766">
        <v>2</v>
      </c>
      <c r="H766">
        <v>3</v>
      </c>
    </row>
    <row r="767" spans="1:8" x14ac:dyDescent="0.3">
      <c r="A767">
        <v>7</v>
      </c>
      <c r="B767">
        <v>2</v>
      </c>
      <c r="C767">
        <v>3</v>
      </c>
      <c r="D767">
        <v>2</v>
      </c>
      <c r="E767" t="s">
        <v>14</v>
      </c>
      <c r="F767">
        <v>2</v>
      </c>
      <c r="G767">
        <v>3</v>
      </c>
      <c r="H767">
        <v>2</v>
      </c>
    </row>
    <row r="768" spans="1:8" x14ac:dyDescent="0.3">
      <c r="A768">
        <v>7</v>
      </c>
      <c r="B768">
        <v>2</v>
      </c>
      <c r="C768">
        <v>2</v>
      </c>
      <c r="D768">
        <v>3</v>
      </c>
      <c r="E768" t="s">
        <v>14</v>
      </c>
      <c r="F768">
        <v>2</v>
      </c>
      <c r="G768">
        <v>2</v>
      </c>
      <c r="H768">
        <v>3</v>
      </c>
    </row>
    <row r="769" spans="1:8" x14ac:dyDescent="0.3">
      <c r="A769">
        <v>7</v>
      </c>
      <c r="B769">
        <v>2</v>
      </c>
      <c r="C769">
        <v>3</v>
      </c>
      <c r="D769">
        <v>2</v>
      </c>
      <c r="E769" t="s">
        <v>14</v>
      </c>
      <c r="F769">
        <v>2</v>
      </c>
      <c r="G769">
        <v>3</v>
      </c>
      <c r="H769">
        <v>2</v>
      </c>
    </row>
    <row r="770" spans="1:8" x14ac:dyDescent="0.3">
      <c r="A770">
        <v>8</v>
      </c>
      <c r="B770">
        <v>2</v>
      </c>
      <c r="C770">
        <v>3</v>
      </c>
      <c r="D770">
        <v>3</v>
      </c>
      <c r="E770" t="s">
        <v>14</v>
      </c>
      <c r="F770">
        <v>2</v>
      </c>
      <c r="G770">
        <v>3</v>
      </c>
      <c r="H770">
        <v>3</v>
      </c>
    </row>
    <row r="771" spans="1:8" x14ac:dyDescent="0.3">
      <c r="A771">
        <v>2</v>
      </c>
      <c r="B771">
        <v>0</v>
      </c>
      <c r="C771">
        <v>1</v>
      </c>
      <c r="D771">
        <v>1</v>
      </c>
      <c r="E771" t="s">
        <v>14</v>
      </c>
      <c r="F771">
        <v>0</v>
      </c>
      <c r="G771">
        <v>1</v>
      </c>
      <c r="H771">
        <v>1</v>
      </c>
    </row>
    <row r="772" spans="1:8" x14ac:dyDescent="0.3">
      <c r="A772">
        <v>3</v>
      </c>
      <c r="B772">
        <v>1</v>
      </c>
      <c r="C772">
        <v>1</v>
      </c>
      <c r="D772">
        <v>1</v>
      </c>
      <c r="E772" t="s">
        <v>14</v>
      </c>
      <c r="F772">
        <v>2</v>
      </c>
      <c r="G772">
        <v>1</v>
      </c>
      <c r="H772">
        <v>0</v>
      </c>
    </row>
    <row r="773" spans="1:8" x14ac:dyDescent="0.3">
      <c r="A773">
        <v>3</v>
      </c>
      <c r="B773">
        <v>1</v>
      </c>
      <c r="C773">
        <v>1</v>
      </c>
      <c r="D773">
        <v>1</v>
      </c>
      <c r="E773" t="s">
        <v>14</v>
      </c>
      <c r="F773">
        <v>1</v>
      </c>
      <c r="G773">
        <v>1</v>
      </c>
      <c r="H773">
        <v>1</v>
      </c>
    </row>
    <row r="774" spans="1:8" x14ac:dyDescent="0.3">
      <c r="A774">
        <v>3</v>
      </c>
      <c r="B774">
        <v>1</v>
      </c>
      <c r="C774">
        <v>1</v>
      </c>
      <c r="D774">
        <v>1</v>
      </c>
      <c r="E774" t="s">
        <v>14</v>
      </c>
      <c r="F774">
        <v>1</v>
      </c>
      <c r="G774">
        <v>1</v>
      </c>
      <c r="H774">
        <v>1</v>
      </c>
    </row>
    <row r="775" spans="1:8" x14ac:dyDescent="0.3">
      <c r="A775">
        <v>3</v>
      </c>
      <c r="B775">
        <v>1</v>
      </c>
      <c r="C775">
        <v>1</v>
      </c>
      <c r="D775">
        <v>1</v>
      </c>
      <c r="E775" t="s">
        <v>14</v>
      </c>
      <c r="F775">
        <v>1</v>
      </c>
      <c r="G775">
        <v>1</v>
      </c>
      <c r="H775">
        <v>1</v>
      </c>
    </row>
    <row r="776" spans="1:8" x14ac:dyDescent="0.3">
      <c r="A776">
        <v>3</v>
      </c>
      <c r="B776">
        <v>2</v>
      </c>
      <c r="C776">
        <v>1</v>
      </c>
      <c r="D776">
        <v>0</v>
      </c>
      <c r="E776" t="s">
        <v>14</v>
      </c>
      <c r="F776">
        <v>0</v>
      </c>
      <c r="G776">
        <v>2</v>
      </c>
      <c r="H776">
        <v>1</v>
      </c>
    </row>
    <row r="777" spans="1:8" x14ac:dyDescent="0.3">
      <c r="A777">
        <v>3</v>
      </c>
      <c r="B777">
        <v>1</v>
      </c>
      <c r="C777">
        <v>1</v>
      </c>
      <c r="D777">
        <v>1</v>
      </c>
      <c r="E777" t="s">
        <v>14</v>
      </c>
      <c r="F777">
        <v>1</v>
      </c>
      <c r="G777">
        <v>1</v>
      </c>
      <c r="H777">
        <v>1</v>
      </c>
    </row>
    <row r="778" spans="1:8" x14ac:dyDescent="0.3">
      <c r="A778">
        <v>3</v>
      </c>
      <c r="B778">
        <v>1</v>
      </c>
      <c r="C778">
        <v>1</v>
      </c>
      <c r="D778">
        <v>1</v>
      </c>
      <c r="E778" t="s">
        <v>14</v>
      </c>
      <c r="F778">
        <v>1</v>
      </c>
      <c r="G778">
        <v>1</v>
      </c>
      <c r="H778">
        <v>1</v>
      </c>
    </row>
    <row r="779" spans="1:8" x14ac:dyDescent="0.3">
      <c r="A779">
        <v>3</v>
      </c>
      <c r="B779">
        <v>1</v>
      </c>
      <c r="C779">
        <v>1</v>
      </c>
      <c r="D779">
        <v>1</v>
      </c>
      <c r="E779" t="s">
        <v>14</v>
      </c>
      <c r="F779">
        <v>1</v>
      </c>
      <c r="G779">
        <v>1</v>
      </c>
      <c r="H779">
        <v>1</v>
      </c>
    </row>
    <row r="780" spans="1:8" x14ac:dyDescent="0.3">
      <c r="A780">
        <v>3</v>
      </c>
      <c r="B780">
        <v>0</v>
      </c>
      <c r="C780">
        <v>2</v>
      </c>
      <c r="D780">
        <v>1</v>
      </c>
      <c r="E780" t="s">
        <v>14</v>
      </c>
      <c r="F780">
        <v>0</v>
      </c>
      <c r="G780">
        <v>2</v>
      </c>
      <c r="H780">
        <v>1</v>
      </c>
    </row>
    <row r="781" spans="1:8" x14ac:dyDescent="0.3">
      <c r="A781">
        <v>3</v>
      </c>
      <c r="B781">
        <v>1</v>
      </c>
      <c r="C781">
        <v>1</v>
      </c>
      <c r="D781">
        <v>1</v>
      </c>
      <c r="E781" t="s">
        <v>14</v>
      </c>
      <c r="F781">
        <v>1</v>
      </c>
      <c r="G781">
        <v>1</v>
      </c>
      <c r="H781">
        <v>1</v>
      </c>
    </row>
    <row r="782" spans="1:8" x14ac:dyDescent="0.3">
      <c r="A782">
        <v>3</v>
      </c>
      <c r="B782">
        <v>1</v>
      </c>
      <c r="C782">
        <v>1</v>
      </c>
      <c r="D782">
        <v>1</v>
      </c>
      <c r="E782" t="s">
        <v>14</v>
      </c>
      <c r="F782">
        <v>2</v>
      </c>
      <c r="G782">
        <v>1</v>
      </c>
      <c r="H782">
        <v>0</v>
      </c>
    </row>
    <row r="783" spans="1:8" x14ac:dyDescent="0.3">
      <c r="A783">
        <v>3</v>
      </c>
      <c r="B783">
        <v>1</v>
      </c>
      <c r="C783">
        <v>1</v>
      </c>
      <c r="D783">
        <v>1</v>
      </c>
      <c r="E783" t="s">
        <v>14</v>
      </c>
      <c r="F783">
        <v>1</v>
      </c>
      <c r="G783">
        <v>0</v>
      </c>
      <c r="H783">
        <v>2</v>
      </c>
    </row>
    <row r="784" spans="1:8" x14ac:dyDescent="0.3">
      <c r="A784">
        <v>3</v>
      </c>
      <c r="B784">
        <v>1</v>
      </c>
      <c r="C784">
        <v>1</v>
      </c>
      <c r="D784">
        <v>1</v>
      </c>
      <c r="E784" t="s">
        <v>14</v>
      </c>
      <c r="F784">
        <v>1</v>
      </c>
      <c r="G784">
        <v>1</v>
      </c>
      <c r="H784">
        <v>1</v>
      </c>
    </row>
    <row r="785" spans="1:8" x14ac:dyDescent="0.3">
      <c r="A785">
        <v>3</v>
      </c>
      <c r="B785">
        <v>0</v>
      </c>
      <c r="C785">
        <v>2</v>
      </c>
      <c r="D785">
        <v>1</v>
      </c>
      <c r="E785" t="s">
        <v>14</v>
      </c>
      <c r="F785">
        <v>0</v>
      </c>
      <c r="G785">
        <v>2</v>
      </c>
      <c r="H785">
        <v>1</v>
      </c>
    </row>
    <row r="786" spans="1:8" x14ac:dyDescent="0.3">
      <c r="A786">
        <v>3</v>
      </c>
      <c r="B786">
        <v>0</v>
      </c>
      <c r="C786">
        <v>2</v>
      </c>
      <c r="D786">
        <v>1</v>
      </c>
      <c r="E786" t="s">
        <v>14</v>
      </c>
      <c r="F786">
        <v>0</v>
      </c>
      <c r="G786">
        <v>2</v>
      </c>
      <c r="H786">
        <v>1</v>
      </c>
    </row>
    <row r="787" spans="1:8" x14ac:dyDescent="0.3">
      <c r="A787">
        <v>3</v>
      </c>
      <c r="B787">
        <v>1</v>
      </c>
      <c r="C787">
        <v>1</v>
      </c>
      <c r="D787">
        <v>1</v>
      </c>
      <c r="E787" t="s">
        <v>14</v>
      </c>
      <c r="F787">
        <v>1</v>
      </c>
      <c r="G787">
        <v>0</v>
      </c>
      <c r="H787">
        <v>2</v>
      </c>
    </row>
    <row r="788" spans="1:8" x14ac:dyDescent="0.3">
      <c r="A788">
        <v>3</v>
      </c>
      <c r="B788">
        <v>0</v>
      </c>
      <c r="C788">
        <v>2</v>
      </c>
      <c r="D788">
        <v>1</v>
      </c>
      <c r="E788" t="s">
        <v>14</v>
      </c>
      <c r="F788">
        <v>0</v>
      </c>
      <c r="G788">
        <v>2</v>
      </c>
      <c r="H788">
        <v>1</v>
      </c>
    </row>
    <row r="789" spans="1:8" x14ac:dyDescent="0.3">
      <c r="A789">
        <v>3</v>
      </c>
      <c r="B789">
        <v>1</v>
      </c>
      <c r="C789">
        <v>1</v>
      </c>
      <c r="D789">
        <v>1</v>
      </c>
      <c r="E789" t="s">
        <v>14</v>
      </c>
      <c r="F789">
        <v>2</v>
      </c>
      <c r="G789">
        <v>1</v>
      </c>
      <c r="H789">
        <v>0</v>
      </c>
    </row>
    <row r="790" spans="1:8" x14ac:dyDescent="0.3">
      <c r="A790">
        <v>3</v>
      </c>
      <c r="B790">
        <v>1</v>
      </c>
      <c r="C790">
        <v>0</v>
      </c>
      <c r="D790">
        <v>2</v>
      </c>
      <c r="E790" t="s">
        <v>14</v>
      </c>
      <c r="F790">
        <v>1</v>
      </c>
      <c r="G790">
        <v>0</v>
      </c>
      <c r="H790">
        <v>2</v>
      </c>
    </row>
    <row r="791" spans="1:8" x14ac:dyDescent="0.3">
      <c r="A791">
        <v>3</v>
      </c>
      <c r="B791">
        <v>1</v>
      </c>
      <c r="C791">
        <v>1</v>
      </c>
      <c r="D791">
        <v>1</v>
      </c>
      <c r="E791" t="s">
        <v>14</v>
      </c>
      <c r="F791">
        <v>1</v>
      </c>
      <c r="G791">
        <v>1</v>
      </c>
      <c r="H791">
        <v>1</v>
      </c>
    </row>
    <row r="792" spans="1:8" x14ac:dyDescent="0.3">
      <c r="A792">
        <v>3</v>
      </c>
      <c r="B792">
        <v>1</v>
      </c>
      <c r="C792">
        <v>1</v>
      </c>
      <c r="D792">
        <v>1</v>
      </c>
      <c r="E792" t="s">
        <v>14</v>
      </c>
      <c r="F792">
        <v>1</v>
      </c>
      <c r="G792">
        <v>0</v>
      </c>
      <c r="H792">
        <v>2</v>
      </c>
    </row>
    <row r="793" spans="1:8" x14ac:dyDescent="0.3">
      <c r="A793">
        <v>3</v>
      </c>
      <c r="B793">
        <v>1</v>
      </c>
      <c r="C793">
        <v>1</v>
      </c>
      <c r="D793">
        <v>1</v>
      </c>
      <c r="E793" t="s">
        <v>14</v>
      </c>
      <c r="F793">
        <v>1</v>
      </c>
      <c r="G793">
        <v>1</v>
      </c>
      <c r="H793">
        <v>1</v>
      </c>
    </row>
    <row r="794" spans="1:8" x14ac:dyDescent="0.3">
      <c r="A794">
        <v>3</v>
      </c>
      <c r="B794">
        <v>1</v>
      </c>
      <c r="C794">
        <v>1</v>
      </c>
      <c r="D794">
        <v>1</v>
      </c>
      <c r="E794" t="s">
        <v>14</v>
      </c>
      <c r="F794">
        <v>2</v>
      </c>
      <c r="G794">
        <v>1</v>
      </c>
      <c r="H794">
        <v>0</v>
      </c>
    </row>
    <row r="795" spans="1:8" x14ac:dyDescent="0.3">
      <c r="A795">
        <v>3</v>
      </c>
      <c r="B795">
        <v>1</v>
      </c>
      <c r="C795">
        <v>1</v>
      </c>
      <c r="D795">
        <v>1</v>
      </c>
      <c r="E795" t="s">
        <v>14</v>
      </c>
      <c r="F795">
        <v>1</v>
      </c>
      <c r="G795">
        <v>1</v>
      </c>
      <c r="H795">
        <v>1</v>
      </c>
    </row>
    <row r="796" spans="1:8" x14ac:dyDescent="0.3">
      <c r="A796">
        <v>3</v>
      </c>
      <c r="B796">
        <v>1</v>
      </c>
      <c r="C796">
        <v>1</v>
      </c>
      <c r="D796">
        <v>1</v>
      </c>
      <c r="E796" t="s">
        <v>14</v>
      </c>
      <c r="F796">
        <v>1</v>
      </c>
      <c r="G796">
        <v>1</v>
      </c>
      <c r="H796">
        <v>1</v>
      </c>
    </row>
    <row r="797" spans="1:8" x14ac:dyDescent="0.3">
      <c r="A797">
        <v>3</v>
      </c>
      <c r="B797">
        <v>1</v>
      </c>
      <c r="C797">
        <v>1</v>
      </c>
      <c r="D797">
        <v>1</v>
      </c>
      <c r="E797" t="s">
        <v>14</v>
      </c>
      <c r="F797">
        <v>1</v>
      </c>
      <c r="G797">
        <v>0</v>
      </c>
      <c r="H797">
        <v>2</v>
      </c>
    </row>
    <row r="798" spans="1:8" x14ac:dyDescent="0.3">
      <c r="A798">
        <v>3</v>
      </c>
      <c r="B798">
        <v>0</v>
      </c>
      <c r="C798">
        <v>2</v>
      </c>
      <c r="D798">
        <v>1</v>
      </c>
      <c r="E798" t="s">
        <v>14</v>
      </c>
      <c r="F798">
        <v>1</v>
      </c>
      <c r="G798">
        <v>0</v>
      </c>
      <c r="H798">
        <v>2</v>
      </c>
    </row>
    <row r="799" spans="1:8" x14ac:dyDescent="0.3">
      <c r="A799">
        <v>3</v>
      </c>
      <c r="B799">
        <v>1</v>
      </c>
      <c r="C799">
        <v>1</v>
      </c>
      <c r="D799">
        <v>1</v>
      </c>
      <c r="E799" t="s">
        <v>14</v>
      </c>
      <c r="F799">
        <v>1</v>
      </c>
      <c r="G799">
        <v>1</v>
      </c>
      <c r="H799">
        <v>1</v>
      </c>
    </row>
    <row r="800" spans="1:8" x14ac:dyDescent="0.3">
      <c r="A800">
        <v>3</v>
      </c>
      <c r="B800">
        <v>0</v>
      </c>
      <c r="C800">
        <v>2</v>
      </c>
      <c r="D800">
        <v>1</v>
      </c>
      <c r="E800" t="s">
        <v>14</v>
      </c>
      <c r="F800">
        <v>0</v>
      </c>
      <c r="G800">
        <v>2</v>
      </c>
      <c r="H800">
        <v>1</v>
      </c>
    </row>
    <row r="801" spans="1:8" x14ac:dyDescent="0.3">
      <c r="A801">
        <v>3</v>
      </c>
      <c r="B801">
        <v>1</v>
      </c>
      <c r="C801">
        <v>0</v>
      </c>
      <c r="D801">
        <v>2</v>
      </c>
      <c r="E801" t="s">
        <v>14</v>
      </c>
      <c r="F801">
        <v>1</v>
      </c>
      <c r="G801">
        <v>0</v>
      </c>
      <c r="H801">
        <v>2</v>
      </c>
    </row>
    <row r="802" spans="1:8" x14ac:dyDescent="0.3">
      <c r="A802">
        <v>3</v>
      </c>
      <c r="B802">
        <v>2</v>
      </c>
      <c r="C802">
        <v>1</v>
      </c>
      <c r="D802">
        <v>0</v>
      </c>
      <c r="E802" t="s">
        <v>14</v>
      </c>
      <c r="F802">
        <v>2</v>
      </c>
      <c r="G802">
        <v>1</v>
      </c>
      <c r="H802">
        <v>0</v>
      </c>
    </row>
    <row r="803" spans="1:8" x14ac:dyDescent="0.3">
      <c r="A803">
        <v>3</v>
      </c>
      <c r="B803">
        <v>1</v>
      </c>
      <c r="C803">
        <v>1</v>
      </c>
      <c r="D803">
        <v>1</v>
      </c>
      <c r="E803" t="s">
        <v>14</v>
      </c>
      <c r="F803">
        <v>1</v>
      </c>
      <c r="G803">
        <v>1</v>
      </c>
      <c r="H803">
        <v>1</v>
      </c>
    </row>
    <row r="804" spans="1:8" x14ac:dyDescent="0.3">
      <c r="A804">
        <v>3</v>
      </c>
      <c r="B804">
        <v>1</v>
      </c>
      <c r="C804">
        <v>1</v>
      </c>
      <c r="D804">
        <v>1</v>
      </c>
      <c r="E804" t="s">
        <v>14</v>
      </c>
      <c r="F804">
        <v>1</v>
      </c>
      <c r="G804">
        <v>1</v>
      </c>
      <c r="H804">
        <v>1</v>
      </c>
    </row>
    <row r="805" spans="1:8" x14ac:dyDescent="0.3">
      <c r="A805">
        <v>3</v>
      </c>
      <c r="B805">
        <v>1</v>
      </c>
      <c r="C805">
        <v>1</v>
      </c>
      <c r="D805">
        <v>1</v>
      </c>
      <c r="E805" t="s">
        <v>14</v>
      </c>
      <c r="F805">
        <v>1</v>
      </c>
      <c r="G805">
        <v>1</v>
      </c>
      <c r="H805">
        <v>1</v>
      </c>
    </row>
    <row r="806" spans="1:8" x14ac:dyDescent="0.3">
      <c r="A806">
        <v>3</v>
      </c>
      <c r="B806">
        <v>1</v>
      </c>
      <c r="C806">
        <v>0</v>
      </c>
      <c r="D806">
        <v>2</v>
      </c>
      <c r="E806" t="s">
        <v>14</v>
      </c>
      <c r="F806">
        <v>0</v>
      </c>
      <c r="G806">
        <v>2</v>
      </c>
      <c r="H806">
        <v>1</v>
      </c>
    </row>
    <row r="807" spans="1:8" x14ac:dyDescent="0.3">
      <c r="A807">
        <v>3</v>
      </c>
      <c r="B807">
        <v>2</v>
      </c>
      <c r="C807">
        <v>1</v>
      </c>
      <c r="D807">
        <v>0</v>
      </c>
      <c r="E807" t="s">
        <v>14</v>
      </c>
      <c r="F807">
        <v>2</v>
      </c>
      <c r="G807">
        <v>1</v>
      </c>
      <c r="H807">
        <v>0</v>
      </c>
    </row>
    <row r="808" spans="1:8" x14ac:dyDescent="0.3">
      <c r="A808">
        <v>3</v>
      </c>
      <c r="B808">
        <v>1</v>
      </c>
      <c r="C808">
        <v>1</v>
      </c>
      <c r="D808">
        <v>1</v>
      </c>
      <c r="E808" t="s">
        <v>14</v>
      </c>
      <c r="F808">
        <v>1</v>
      </c>
      <c r="G808">
        <v>1</v>
      </c>
      <c r="H808">
        <v>1</v>
      </c>
    </row>
    <row r="809" spans="1:8" x14ac:dyDescent="0.3">
      <c r="A809">
        <v>3</v>
      </c>
      <c r="B809">
        <v>1</v>
      </c>
      <c r="C809">
        <v>1</v>
      </c>
      <c r="D809">
        <v>1</v>
      </c>
      <c r="E809" t="s">
        <v>14</v>
      </c>
      <c r="F809">
        <v>1</v>
      </c>
      <c r="G809">
        <v>1</v>
      </c>
      <c r="H809">
        <v>1</v>
      </c>
    </row>
    <row r="810" spans="1:8" x14ac:dyDescent="0.3">
      <c r="A810">
        <v>3</v>
      </c>
      <c r="B810">
        <v>1</v>
      </c>
      <c r="C810">
        <v>1</v>
      </c>
      <c r="D810">
        <v>1</v>
      </c>
      <c r="E810" t="s">
        <v>14</v>
      </c>
      <c r="F810">
        <v>1</v>
      </c>
      <c r="G810">
        <v>1</v>
      </c>
      <c r="H810">
        <v>1</v>
      </c>
    </row>
    <row r="811" spans="1:8" x14ac:dyDescent="0.3">
      <c r="A811">
        <v>3</v>
      </c>
      <c r="B811">
        <v>1</v>
      </c>
      <c r="C811">
        <v>1</v>
      </c>
      <c r="D811">
        <v>1</v>
      </c>
      <c r="E811" t="s">
        <v>14</v>
      </c>
      <c r="F811">
        <v>1</v>
      </c>
      <c r="G811">
        <v>1</v>
      </c>
      <c r="H811">
        <v>1</v>
      </c>
    </row>
    <row r="812" spans="1:8" x14ac:dyDescent="0.3">
      <c r="A812">
        <v>3</v>
      </c>
      <c r="B812">
        <v>1</v>
      </c>
      <c r="C812">
        <v>1</v>
      </c>
      <c r="D812">
        <v>1</v>
      </c>
      <c r="E812" t="s">
        <v>14</v>
      </c>
      <c r="F812">
        <v>1</v>
      </c>
      <c r="G812">
        <v>0</v>
      </c>
      <c r="H812">
        <v>2</v>
      </c>
    </row>
    <row r="813" spans="1:8" x14ac:dyDescent="0.3">
      <c r="A813">
        <v>3</v>
      </c>
      <c r="B813">
        <v>1</v>
      </c>
      <c r="C813">
        <v>1</v>
      </c>
      <c r="D813">
        <v>1</v>
      </c>
      <c r="E813" t="s">
        <v>14</v>
      </c>
      <c r="F813">
        <v>1</v>
      </c>
      <c r="G813">
        <v>1</v>
      </c>
      <c r="H813">
        <v>1</v>
      </c>
    </row>
    <row r="814" spans="1:8" x14ac:dyDescent="0.3">
      <c r="A814">
        <v>3</v>
      </c>
      <c r="B814">
        <v>1</v>
      </c>
      <c r="C814">
        <v>1</v>
      </c>
      <c r="D814">
        <v>1</v>
      </c>
      <c r="E814" t="s">
        <v>14</v>
      </c>
      <c r="F814">
        <v>1</v>
      </c>
      <c r="G814">
        <v>1</v>
      </c>
      <c r="H814">
        <v>1</v>
      </c>
    </row>
    <row r="815" spans="1:8" x14ac:dyDescent="0.3">
      <c r="A815">
        <v>3</v>
      </c>
      <c r="B815">
        <v>1</v>
      </c>
      <c r="C815">
        <v>1</v>
      </c>
      <c r="D815">
        <v>1</v>
      </c>
      <c r="E815" t="s">
        <v>14</v>
      </c>
      <c r="F815">
        <v>1</v>
      </c>
      <c r="G815">
        <v>1</v>
      </c>
      <c r="H815">
        <v>1</v>
      </c>
    </row>
    <row r="816" spans="1:8" x14ac:dyDescent="0.3">
      <c r="A816">
        <v>3</v>
      </c>
      <c r="B816">
        <v>1</v>
      </c>
      <c r="C816">
        <v>1</v>
      </c>
      <c r="D816">
        <v>1</v>
      </c>
      <c r="E816" t="s">
        <v>14</v>
      </c>
      <c r="F816">
        <v>1</v>
      </c>
      <c r="G816">
        <v>1</v>
      </c>
      <c r="H816">
        <v>1</v>
      </c>
    </row>
    <row r="817" spans="1:8" x14ac:dyDescent="0.3">
      <c r="A817">
        <v>4</v>
      </c>
      <c r="B817">
        <v>1</v>
      </c>
      <c r="C817">
        <v>1</v>
      </c>
      <c r="D817">
        <v>2</v>
      </c>
      <c r="E817" t="s">
        <v>14</v>
      </c>
      <c r="F817">
        <v>1</v>
      </c>
      <c r="G817">
        <v>1</v>
      </c>
      <c r="H817">
        <v>2</v>
      </c>
    </row>
    <row r="818" spans="1:8" x14ac:dyDescent="0.3">
      <c r="A818">
        <v>4</v>
      </c>
      <c r="B818">
        <v>2</v>
      </c>
      <c r="C818">
        <v>1</v>
      </c>
      <c r="D818">
        <v>1</v>
      </c>
      <c r="E818" t="s">
        <v>14</v>
      </c>
      <c r="F818">
        <v>0</v>
      </c>
      <c r="G818">
        <v>2</v>
      </c>
      <c r="H818">
        <v>2</v>
      </c>
    </row>
    <row r="819" spans="1:8" x14ac:dyDescent="0.3">
      <c r="A819">
        <v>4</v>
      </c>
      <c r="B819">
        <v>1</v>
      </c>
      <c r="C819">
        <v>2</v>
      </c>
      <c r="D819">
        <v>1</v>
      </c>
      <c r="E819" t="s">
        <v>14</v>
      </c>
      <c r="F819">
        <v>2</v>
      </c>
      <c r="G819">
        <v>0</v>
      </c>
      <c r="H819">
        <v>2</v>
      </c>
    </row>
    <row r="820" spans="1:8" x14ac:dyDescent="0.3">
      <c r="A820">
        <v>4</v>
      </c>
      <c r="B820">
        <v>2</v>
      </c>
      <c r="C820">
        <v>1</v>
      </c>
      <c r="D820">
        <v>1</v>
      </c>
      <c r="E820" t="s">
        <v>14</v>
      </c>
      <c r="F820">
        <v>2</v>
      </c>
      <c r="G820">
        <v>1</v>
      </c>
      <c r="H820">
        <v>1</v>
      </c>
    </row>
    <row r="821" spans="1:8" x14ac:dyDescent="0.3">
      <c r="A821">
        <v>4</v>
      </c>
      <c r="B821">
        <v>2</v>
      </c>
      <c r="C821">
        <v>1</v>
      </c>
      <c r="D821">
        <v>1</v>
      </c>
      <c r="E821" t="s">
        <v>14</v>
      </c>
      <c r="F821">
        <v>0</v>
      </c>
      <c r="G821">
        <v>2</v>
      </c>
      <c r="H821">
        <v>2</v>
      </c>
    </row>
    <row r="822" spans="1:8" x14ac:dyDescent="0.3">
      <c r="A822">
        <v>4</v>
      </c>
      <c r="B822">
        <v>1</v>
      </c>
      <c r="C822">
        <v>1</v>
      </c>
      <c r="D822">
        <v>2</v>
      </c>
      <c r="E822" t="s">
        <v>14</v>
      </c>
      <c r="F822">
        <v>0</v>
      </c>
      <c r="G822">
        <v>2</v>
      </c>
      <c r="H822">
        <v>2</v>
      </c>
    </row>
    <row r="823" spans="1:8" x14ac:dyDescent="0.3">
      <c r="A823">
        <v>4</v>
      </c>
      <c r="B823">
        <v>2</v>
      </c>
      <c r="C823">
        <v>1</v>
      </c>
      <c r="D823">
        <v>1</v>
      </c>
      <c r="E823" t="s">
        <v>14</v>
      </c>
      <c r="F823">
        <v>2</v>
      </c>
      <c r="G823">
        <v>1</v>
      </c>
      <c r="H823">
        <v>1</v>
      </c>
    </row>
    <row r="824" spans="1:8" x14ac:dyDescent="0.3">
      <c r="A824">
        <v>4</v>
      </c>
      <c r="B824">
        <v>2</v>
      </c>
      <c r="C824">
        <v>1</v>
      </c>
      <c r="D824">
        <v>1</v>
      </c>
      <c r="E824" t="s">
        <v>14</v>
      </c>
      <c r="F824">
        <v>2</v>
      </c>
      <c r="G824">
        <v>0</v>
      </c>
      <c r="H824">
        <v>2</v>
      </c>
    </row>
    <row r="825" spans="1:8" x14ac:dyDescent="0.3">
      <c r="A825">
        <v>5</v>
      </c>
      <c r="B825">
        <v>1</v>
      </c>
      <c r="C825">
        <v>2</v>
      </c>
      <c r="D825">
        <v>2</v>
      </c>
      <c r="E825" t="s">
        <v>14</v>
      </c>
      <c r="F825">
        <v>1</v>
      </c>
      <c r="G825">
        <v>2</v>
      </c>
      <c r="H825">
        <v>2</v>
      </c>
    </row>
    <row r="826" spans="1:8" x14ac:dyDescent="0.3">
      <c r="A826">
        <v>5</v>
      </c>
      <c r="B826">
        <v>2</v>
      </c>
      <c r="C826">
        <v>1</v>
      </c>
      <c r="D826">
        <v>2</v>
      </c>
      <c r="E826" t="s">
        <v>14</v>
      </c>
      <c r="F826">
        <v>0</v>
      </c>
      <c r="G826">
        <v>2</v>
      </c>
      <c r="H826">
        <v>3</v>
      </c>
    </row>
    <row r="827" spans="1:8" x14ac:dyDescent="0.3">
      <c r="A827">
        <v>5</v>
      </c>
      <c r="B827">
        <v>2</v>
      </c>
      <c r="C827">
        <v>2</v>
      </c>
      <c r="D827">
        <v>1</v>
      </c>
      <c r="E827" t="s">
        <v>14</v>
      </c>
      <c r="F827">
        <v>2</v>
      </c>
      <c r="G827">
        <v>2</v>
      </c>
      <c r="H827">
        <v>1</v>
      </c>
    </row>
    <row r="828" spans="1:8" x14ac:dyDescent="0.3">
      <c r="A828">
        <v>5</v>
      </c>
      <c r="B828">
        <v>2</v>
      </c>
      <c r="C828">
        <v>2</v>
      </c>
      <c r="D828">
        <v>1</v>
      </c>
      <c r="E828" t="s">
        <v>14</v>
      </c>
      <c r="F828">
        <v>2</v>
      </c>
      <c r="G828">
        <v>3</v>
      </c>
      <c r="H828">
        <v>0</v>
      </c>
    </row>
    <row r="829" spans="1:8" x14ac:dyDescent="0.3">
      <c r="A829">
        <v>5</v>
      </c>
      <c r="B829">
        <v>2</v>
      </c>
      <c r="C829">
        <v>2</v>
      </c>
      <c r="D829">
        <v>1</v>
      </c>
      <c r="E829" t="s">
        <v>14</v>
      </c>
      <c r="F829">
        <v>2</v>
      </c>
      <c r="G829">
        <v>2</v>
      </c>
      <c r="H829">
        <v>1</v>
      </c>
    </row>
    <row r="830" spans="1:8" x14ac:dyDescent="0.3">
      <c r="A830">
        <v>6</v>
      </c>
      <c r="B830">
        <v>2</v>
      </c>
      <c r="C830">
        <v>2</v>
      </c>
      <c r="D830">
        <v>2</v>
      </c>
      <c r="E830" t="s">
        <v>14</v>
      </c>
      <c r="F830">
        <v>2</v>
      </c>
      <c r="G830">
        <v>2</v>
      </c>
      <c r="H830">
        <v>2</v>
      </c>
    </row>
    <row r="831" spans="1:8" x14ac:dyDescent="0.3">
      <c r="A831">
        <v>6</v>
      </c>
      <c r="B831">
        <v>1</v>
      </c>
      <c r="C831">
        <v>2</v>
      </c>
      <c r="D831">
        <v>3</v>
      </c>
      <c r="E831" t="s">
        <v>14</v>
      </c>
      <c r="F831">
        <v>1</v>
      </c>
      <c r="G831">
        <v>2</v>
      </c>
      <c r="H831">
        <v>3</v>
      </c>
    </row>
    <row r="832" spans="1:8" x14ac:dyDescent="0.3">
      <c r="A832">
        <v>7</v>
      </c>
      <c r="B832">
        <v>2</v>
      </c>
      <c r="C832">
        <v>3</v>
      </c>
      <c r="D832">
        <v>2</v>
      </c>
      <c r="E832" t="s">
        <v>14</v>
      </c>
      <c r="F832">
        <v>2</v>
      </c>
      <c r="G832">
        <v>3</v>
      </c>
      <c r="H832">
        <v>2</v>
      </c>
    </row>
    <row r="833" spans="1:8" x14ac:dyDescent="0.3">
      <c r="A833">
        <v>7</v>
      </c>
      <c r="B833">
        <v>2</v>
      </c>
      <c r="C833">
        <v>2</v>
      </c>
      <c r="D833">
        <v>3</v>
      </c>
      <c r="E833" t="s">
        <v>14</v>
      </c>
      <c r="F833">
        <v>2</v>
      </c>
      <c r="G833">
        <v>2</v>
      </c>
      <c r="H833">
        <v>3</v>
      </c>
    </row>
    <row r="834" spans="1:8" x14ac:dyDescent="0.3">
      <c r="A834">
        <v>7</v>
      </c>
      <c r="B834">
        <v>2</v>
      </c>
      <c r="C834">
        <v>2</v>
      </c>
      <c r="D834">
        <v>3</v>
      </c>
      <c r="E834" t="s">
        <v>14</v>
      </c>
      <c r="F834">
        <v>2</v>
      </c>
      <c r="G834">
        <v>2</v>
      </c>
      <c r="H834">
        <v>3</v>
      </c>
    </row>
    <row r="835" spans="1:8" x14ac:dyDescent="0.3">
      <c r="A835">
        <v>7</v>
      </c>
      <c r="B835">
        <v>2</v>
      </c>
      <c r="C835">
        <v>3</v>
      </c>
      <c r="D835">
        <v>2</v>
      </c>
      <c r="E835" t="s">
        <v>14</v>
      </c>
      <c r="F835">
        <v>2</v>
      </c>
      <c r="G835">
        <v>3</v>
      </c>
      <c r="H835">
        <v>2</v>
      </c>
    </row>
    <row r="836" spans="1:8" x14ac:dyDescent="0.3">
      <c r="A836">
        <v>7</v>
      </c>
      <c r="B836">
        <v>2</v>
      </c>
      <c r="C836">
        <v>2</v>
      </c>
      <c r="D836">
        <v>3</v>
      </c>
      <c r="E836" t="s">
        <v>14</v>
      </c>
      <c r="F836">
        <v>2</v>
      </c>
      <c r="G836">
        <v>2</v>
      </c>
      <c r="H836">
        <v>3</v>
      </c>
    </row>
    <row r="837" spans="1:8" x14ac:dyDescent="0.3">
      <c r="A837">
        <v>8</v>
      </c>
      <c r="B837">
        <v>2</v>
      </c>
      <c r="C837">
        <v>3</v>
      </c>
      <c r="D837">
        <v>3</v>
      </c>
      <c r="E837" t="s">
        <v>14</v>
      </c>
      <c r="F837">
        <v>2</v>
      </c>
      <c r="G837">
        <v>3</v>
      </c>
      <c r="H837">
        <v>3</v>
      </c>
    </row>
    <row r="838" spans="1:8" x14ac:dyDescent="0.3">
      <c r="A838">
        <v>8</v>
      </c>
      <c r="B838">
        <v>2</v>
      </c>
      <c r="C838">
        <v>3</v>
      </c>
      <c r="D838">
        <v>3</v>
      </c>
      <c r="E838" t="s">
        <v>14</v>
      </c>
      <c r="F838">
        <v>2</v>
      </c>
      <c r="G838">
        <v>3</v>
      </c>
      <c r="H838">
        <v>3</v>
      </c>
    </row>
    <row r="839" spans="1:8" x14ac:dyDescent="0.3">
      <c r="A839">
        <v>8</v>
      </c>
      <c r="B839">
        <v>3</v>
      </c>
      <c r="C839">
        <v>3</v>
      </c>
      <c r="D839">
        <v>2</v>
      </c>
      <c r="E839" t="s">
        <v>14</v>
      </c>
      <c r="F839">
        <v>3</v>
      </c>
      <c r="G839">
        <v>3</v>
      </c>
      <c r="H839">
        <v>2</v>
      </c>
    </row>
    <row r="840" spans="1:8" x14ac:dyDescent="0.3">
      <c r="A840">
        <v>8</v>
      </c>
      <c r="B840">
        <v>2</v>
      </c>
      <c r="C840">
        <v>3</v>
      </c>
      <c r="D840">
        <v>3</v>
      </c>
      <c r="E840" t="s">
        <v>14</v>
      </c>
      <c r="F840">
        <v>2</v>
      </c>
      <c r="G840">
        <v>3</v>
      </c>
      <c r="H840">
        <v>3</v>
      </c>
    </row>
    <row r="841" spans="1:8" x14ac:dyDescent="0.3">
      <c r="A841">
        <v>2</v>
      </c>
      <c r="B841">
        <v>0</v>
      </c>
      <c r="C841">
        <v>1</v>
      </c>
      <c r="D841">
        <v>1</v>
      </c>
      <c r="E841" t="s">
        <v>14</v>
      </c>
      <c r="F841">
        <v>0</v>
      </c>
      <c r="G841">
        <v>1</v>
      </c>
      <c r="H841">
        <v>1</v>
      </c>
    </row>
    <row r="842" spans="1:8" x14ac:dyDescent="0.3">
      <c r="A842">
        <v>2</v>
      </c>
      <c r="B842">
        <v>1</v>
      </c>
      <c r="C842">
        <v>1</v>
      </c>
      <c r="D842">
        <v>0</v>
      </c>
      <c r="E842" t="s">
        <v>14</v>
      </c>
      <c r="F842">
        <v>1</v>
      </c>
      <c r="G842">
        <v>1</v>
      </c>
      <c r="H842">
        <v>0</v>
      </c>
    </row>
    <row r="843" spans="1:8" x14ac:dyDescent="0.3">
      <c r="A843">
        <v>2</v>
      </c>
      <c r="B843">
        <v>1</v>
      </c>
      <c r="C843">
        <v>0</v>
      </c>
      <c r="D843">
        <v>1</v>
      </c>
      <c r="E843" t="s">
        <v>14</v>
      </c>
      <c r="F843">
        <v>1</v>
      </c>
      <c r="G843">
        <v>0</v>
      </c>
      <c r="H843">
        <v>1</v>
      </c>
    </row>
    <row r="844" spans="1:8" x14ac:dyDescent="0.3">
      <c r="A844">
        <v>2</v>
      </c>
      <c r="B844">
        <v>1</v>
      </c>
      <c r="C844">
        <v>0</v>
      </c>
      <c r="D844">
        <v>1</v>
      </c>
      <c r="E844" t="s">
        <v>14</v>
      </c>
      <c r="F844">
        <v>2</v>
      </c>
      <c r="G844">
        <v>0</v>
      </c>
      <c r="H844">
        <v>0</v>
      </c>
    </row>
    <row r="845" spans="1:8" x14ac:dyDescent="0.3">
      <c r="A845">
        <v>2</v>
      </c>
      <c r="B845">
        <v>1</v>
      </c>
      <c r="C845">
        <v>1</v>
      </c>
      <c r="D845">
        <v>0</v>
      </c>
      <c r="E845" t="s">
        <v>14</v>
      </c>
      <c r="F845">
        <v>0</v>
      </c>
      <c r="G845">
        <v>2</v>
      </c>
      <c r="H845">
        <v>0</v>
      </c>
    </row>
    <row r="846" spans="1:8" x14ac:dyDescent="0.3">
      <c r="A846">
        <v>2</v>
      </c>
      <c r="B846">
        <v>1</v>
      </c>
      <c r="C846">
        <v>0</v>
      </c>
      <c r="D846">
        <v>1</v>
      </c>
      <c r="E846" t="s">
        <v>14</v>
      </c>
      <c r="F846">
        <v>0</v>
      </c>
      <c r="G846">
        <v>0</v>
      </c>
      <c r="H846">
        <v>2</v>
      </c>
    </row>
    <row r="847" spans="1:8" x14ac:dyDescent="0.3">
      <c r="A847">
        <v>3</v>
      </c>
      <c r="B847">
        <v>1</v>
      </c>
      <c r="C847">
        <v>1</v>
      </c>
      <c r="D847">
        <v>1</v>
      </c>
      <c r="E847" t="s">
        <v>14</v>
      </c>
      <c r="F847">
        <v>1</v>
      </c>
      <c r="G847">
        <v>0</v>
      </c>
      <c r="H847">
        <v>2</v>
      </c>
    </row>
    <row r="848" spans="1:8" x14ac:dyDescent="0.3">
      <c r="A848">
        <v>3</v>
      </c>
      <c r="B848">
        <v>0</v>
      </c>
      <c r="C848">
        <v>2</v>
      </c>
      <c r="D848">
        <v>1</v>
      </c>
      <c r="E848" t="s">
        <v>14</v>
      </c>
      <c r="F848">
        <v>0</v>
      </c>
      <c r="G848">
        <v>2</v>
      </c>
      <c r="H848">
        <v>1</v>
      </c>
    </row>
    <row r="849" spans="1:8" x14ac:dyDescent="0.3">
      <c r="A849">
        <v>3</v>
      </c>
      <c r="B849">
        <v>1</v>
      </c>
      <c r="C849">
        <v>1</v>
      </c>
      <c r="D849">
        <v>1</v>
      </c>
      <c r="E849" t="s">
        <v>14</v>
      </c>
      <c r="F849">
        <v>1</v>
      </c>
      <c r="G849">
        <v>1</v>
      </c>
      <c r="H849">
        <v>1</v>
      </c>
    </row>
    <row r="850" spans="1:8" x14ac:dyDescent="0.3">
      <c r="A850">
        <v>3</v>
      </c>
      <c r="B850">
        <v>1</v>
      </c>
      <c r="C850">
        <v>0</v>
      </c>
      <c r="D850">
        <v>2</v>
      </c>
      <c r="E850" t="s">
        <v>14</v>
      </c>
      <c r="F850">
        <v>1</v>
      </c>
      <c r="G850">
        <v>0</v>
      </c>
      <c r="H850">
        <v>2</v>
      </c>
    </row>
    <row r="851" spans="1:8" x14ac:dyDescent="0.3">
      <c r="A851">
        <v>3</v>
      </c>
      <c r="B851">
        <v>1</v>
      </c>
      <c r="C851">
        <v>1</v>
      </c>
      <c r="D851">
        <v>1</v>
      </c>
      <c r="E851" t="s">
        <v>14</v>
      </c>
      <c r="F851">
        <v>1</v>
      </c>
      <c r="G851">
        <v>0</v>
      </c>
      <c r="H851">
        <v>2</v>
      </c>
    </row>
    <row r="852" spans="1:8" x14ac:dyDescent="0.3">
      <c r="A852">
        <v>3</v>
      </c>
      <c r="B852">
        <v>1</v>
      </c>
      <c r="C852">
        <v>1</v>
      </c>
      <c r="D852">
        <v>1</v>
      </c>
      <c r="E852" t="s">
        <v>14</v>
      </c>
      <c r="F852">
        <v>2</v>
      </c>
      <c r="G852">
        <v>1</v>
      </c>
      <c r="H852">
        <v>0</v>
      </c>
    </row>
    <row r="853" spans="1:8" x14ac:dyDescent="0.3">
      <c r="A853">
        <v>3</v>
      </c>
      <c r="B853">
        <v>1</v>
      </c>
      <c r="C853">
        <v>1</v>
      </c>
      <c r="D853">
        <v>1</v>
      </c>
      <c r="E853" t="s">
        <v>14</v>
      </c>
      <c r="F853">
        <v>2</v>
      </c>
      <c r="G853">
        <v>1</v>
      </c>
      <c r="H853">
        <v>0</v>
      </c>
    </row>
    <row r="854" spans="1:8" x14ac:dyDescent="0.3">
      <c r="A854">
        <v>3</v>
      </c>
      <c r="B854">
        <v>1</v>
      </c>
      <c r="C854">
        <v>1</v>
      </c>
      <c r="D854">
        <v>1</v>
      </c>
      <c r="E854" t="s">
        <v>14</v>
      </c>
      <c r="F854">
        <v>1</v>
      </c>
      <c r="G854">
        <v>1</v>
      </c>
      <c r="H854">
        <v>1</v>
      </c>
    </row>
    <row r="855" spans="1:8" x14ac:dyDescent="0.3">
      <c r="A855">
        <v>3</v>
      </c>
      <c r="B855">
        <v>1</v>
      </c>
      <c r="C855">
        <v>1</v>
      </c>
      <c r="D855">
        <v>1</v>
      </c>
      <c r="E855" t="s">
        <v>14</v>
      </c>
      <c r="F855">
        <v>1</v>
      </c>
      <c r="G855">
        <v>0</v>
      </c>
      <c r="H855">
        <v>2</v>
      </c>
    </row>
    <row r="856" spans="1:8" x14ac:dyDescent="0.3">
      <c r="A856">
        <v>3</v>
      </c>
      <c r="B856">
        <v>1</v>
      </c>
      <c r="C856">
        <v>1</v>
      </c>
      <c r="D856">
        <v>1</v>
      </c>
      <c r="E856" t="s">
        <v>14</v>
      </c>
      <c r="F856">
        <v>1</v>
      </c>
      <c r="G856">
        <v>1</v>
      </c>
      <c r="H856">
        <v>1</v>
      </c>
    </row>
    <row r="857" spans="1:8" x14ac:dyDescent="0.3">
      <c r="A857">
        <v>3</v>
      </c>
      <c r="B857">
        <v>1</v>
      </c>
      <c r="C857">
        <v>1</v>
      </c>
      <c r="D857">
        <v>1</v>
      </c>
      <c r="E857" t="s">
        <v>14</v>
      </c>
      <c r="F857">
        <v>1</v>
      </c>
      <c r="G857">
        <v>1</v>
      </c>
      <c r="H857">
        <v>1</v>
      </c>
    </row>
    <row r="858" spans="1:8" x14ac:dyDescent="0.3">
      <c r="A858">
        <v>3</v>
      </c>
      <c r="B858">
        <v>1</v>
      </c>
      <c r="C858">
        <v>1</v>
      </c>
      <c r="D858">
        <v>1</v>
      </c>
      <c r="E858" t="s">
        <v>14</v>
      </c>
      <c r="F858">
        <v>1</v>
      </c>
      <c r="G858">
        <v>1</v>
      </c>
      <c r="H858">
        <v>1</v>
      </c>
    </row>
    <row r="859" spans="1:8" x14ac:dyDescent="0.3">
      <c r="A859">
        <v>3</v>
      </c>
      <c r="B859">
        <v>1</v>
      </c>
      <c r="C859">
        <v>1</v>
      </c>
      <c r="D859">
        <v>1</v>
      </c>
      <c r="E859" t="s">
        <v>14</v>
      </c>
      <c r="F859">
        <v>0</v>
      </c>
      <c r="G859">
        <v>2</v>
      </c>
      <c r="H859">
        <v>1</v>
      </c>
    </row>
    <row r="860" spans="1:8" x14ac:dyDescent="0.3">
      <c r="A860">
        <v>3</v>
      </c>
      <c r="B860">
        <v>1</v>
      </c>
      <c r="C860">
        <v>1</v>
      </c>
      <c r="D860">
        <v>1</v>
      </c>
      <c r="E860" t="s">
        <v>14</v>
      </c>
      <c r="F860">
        <v>0</v>
      </c>
      <c r="G860">
        <v>2</v>
      </c>
      <c r="H860">
        <v>1</v>
      </c>
    </row>
    <row r="861" spans="1:8" x14ac:dyDescent="0.3">
      <c r="A861">
        <v>3</v>
      </c>
      <c r="B861">
        <v>0</v>
      </c>
      <c r="C861">
        <v>2</v>
      </c>
      <c r="D861">
        <v>1</v>
      </c>
      <c r="E861" t="s">
        <v>14</v>
      </c>
      <c r="F861">
        <v>0</v>
      </c>
      <c r="G861">
        <v>2</v>
      </c>
      <c r="H861">
        <v>1</v>
      </c>
    </row>
    <row r="862" spans="1:8" x14ac:dyDescent="0.3">
      <c r="A862">
        <v>3</v>
      </c>
      <c r="B862">
        <v>1</v>
      </c>
      <c r="C862">
        <v>1</v>
      </c>
      <c r="D862">
        <v>1</v>
      </c>
      <c r="E862" t="s">
        <v>14</v>
      </c>
      <c r="F862">
        <v>2</v>
      </c>
      <c r="G862">
        <v>1</v>
      </c>
      <c r="H862">
        <v>0</v>
      </c>
    </row>
    <row r="863" spans="1:8" x14ac:dyDescent="0.3">
      <c r="A863">
        <v>3</v>
      </c>
      <c r="B863">
        <v>1</v>
      </c>
      <c r="C863">
        <v>1</v>
      </c>
      <c r="D863">
        <v>1</v>
      </c>
      <c r="E863" t="s">
        <v>14</v>
      </c>
      <c r="F863">
        <v>1</v>
      </c>
      <c r="G863">
        <v>1</v>
      </c>
      <c r="H863">
        <v>1</v>
      </c>
    </row>
    <row r="864" spans="1:8" x14ac:dyDescent="0.3">
      <c r="A864">
        <v>3</v>
      </c>
      <c r="B864">
        <v>1</v>
      </c>
      <c r="C864">
        <v>1</v>
      </c>
      <c r="D864">
        <v>1</v>
      </c>
      <c r="E864" t="s">
        <v>14</v>
      </c>
      <c r="F864">
        <v>1</v>
      </c>
      <c r="G864">
        <v>1</v>
      </c>
      <c r="H864">
        <v>1</v>
      </c>
    </row>
    <row r="865" spans="1:8" x14ac:dyDescent="0.3">
      <c r="A865">
        <v>3</v>
      </c>
      <c r="B865">
        <v>0</v>
      </c>
      <c r="C865">
        <v>2</v>
      </c>
      <c r="D865">
        <v>1</v>
      </c>
      <c r="E865" t="s">
        <v>14</v>
      </c>
      <c r="F865">
        <v>0</v>
      </c>
      <c r="G865">
        <v>2</v>
      </c>
      <c r="H865">
        <v>1</v>
      </c>
    </row>
    <row r="866" spans="1:8" x14ac:dyDescent="0.3">
      <c r="A866">
        <v>3</v>
      </c>
      <c r="B866">
        <v>1</v>
      </c>
      <c r="C866">
        <v>1</v>
      </c>
      <c r="D866">
        <v>1</v>
      </c>
      <c r="E866" t="s">
        <v>14</v>
      </c>
      <c r="F866">
        <v>1</v>
      </c>
      <c r="G866">
        <v>1</v>
      </c>
      <c r="H866">
        <v>1</v>
      </c>
    </row>
    <row r="867" spans="1:8" x14ac:dyDescent="0.3">
      <c r="A867">
        <v>3</v>
      </c>
      <c r="B867">
        <v>1</v>
      </c>
      <c r="C867">
        <v>1</v>
      </c>
      <c r="D867">
        <v>1</v>
      </c>
      <c r="E867" t="s">
        <v>14</v>
      </c>
      <c r="F867">
        <v>1</v>
      </c>
      <c r="G867">
        <v>1</v>
      </c>
      <c r="H867">
        <v>1</v>
      </c>
    </row>
    <row r="868" spans="1:8" x14ac:dyDescent="0.3">
      <c r="A868">
        <v>3</v>
      </c>
      <c r="B868">
        <v>2</v>
      </c>
      <c r="C868">
        <v>1</v>
      </c>
      <c r="D868">
        <v>0</v>
      </c>
      <c r="E868" t="s">
        <v>14</v>
      </c>
      <c r="F868">
        <v>2</v>
      </c>
      <c r="G868">
        <v>1</v>
      </c>
      <c r="H868">
        <v>0</v>
      </c>
    </row>
    <row r="869" spans="1:8" x14ac:dyDescent="0.3">
      <c r="A869">
        <v>3</v>
      </c>
      <c r="B869">
        <v>1</v>
      </c>
      <c r="C869">
        <v>1</v>
      </c>
      <c r="D869">
        <v>1</v>
      </c>
      <c r="E869" t="s">
        <v>14</v>
      </c>
      <c r="F869">
        <v>2</v>
      </c>
      <c r="G869">
        <v>1</v>
      </c>
      <c r="H869">
        <v>0</v>
      </c>
    </row>
    <row r="870" spans="1:8" x14ac:dyDescent="0.3">
      <c r="A870">
        <v>3</v>
      </c>
      <c r="B870">
        <v>1</v>
      </c>
      <c r="C870">
        <v>1</v>
      </c>
      <c r="D870">
        <v>1</v>
      </c>
      <c r="E870" t="s">
        <v>14</v>
      </c>
      <c r="F870">
        <v>1</v>
      </c>
      <c r="G870">
        <v>0</v>
      </c>
      <c r="H870">
        <v>2</v>
      </c>
    </row>
    <row r="871" spans="1:8" x14ac:dyDescent="0.3">
      <c r="A871">
        <v>3</v>
      </c>
      <c r="B871">
        <v>1</v>
      </c>
      <c r="C871">
        <v>1</v>
      </c>
      <c r="D871">
        <v>1</v>
      </c>
      <c r="E871" t="s">
        <v>14</v>
      </c>
      <c r="F871">
        <v>0</v>
      </c>
      <c r="G871">
        <v>2</v>
      </c>
      <c r="H871">
        <v>1</v>
      </c>
    </row>
    <row r="872" spans="1:8" x14ac:dyDescent="0.3">
      <c r="A872">
        <v>3</v>
      </c>
      <c r="B872">
        <v>0</v>
      </c>
      <c r="C872">
        <v>2</v>
      </c>
      <c r="D872">
        <v>1</v>
      </c>
      <c r="E872" t="s">
        <v>14</v>
      </c>
      <c r="F872">
        <v>2</v>
      </c>
      <c r="G872">
        <v>1</v>
      </c>
      <c r="H872">
        <v>0</v>
      </c>
    </row>
    <row r="873" spans="1:8" x14ac:dyDescent="0.3">
      <c r="A873">
        <v>3</v>
      </c>
      <c r="B873">
        <v>1</v>
      </c>
      <c r="C873">
        <v>1</v>
      </c>
      <c r="D873">
        <v>1</v>
      </c>
      <c r="E873" t="s">
        <v>14</v>
      </c>
      <c r="F873">
        <v>0</v>
      </c>
      <c r="G873">
        <v>2</v>
      </c>
      <c r="H873">
        <v>1</v>
      </c>
    </row>
    <row r="874" spans="1:8" x14ac:dyDescent="0.3">
      <c r="A874">
        <v>3</v>
      </c>
      <c r="B874">
        <v>2</v>
      </c>
      <c r="C874">
        <v>1</v>
      </c>
      <c r="D874">
        <v>0</v>
      </c>
      <c r="E874" t="s">
        <v>14</v>
      </c>
      <c r="F874">
        <v>0</v>
      </c>
      <c r="G874">
        <v>2</v>
      </c>
      <c r="H874">
        <v>1</v>
      </c>
    </row>
    <row r="875" spans="1:8" x14ac:dyDescent="0.3">
      <c r="A875">
        <v>3</v>
      </c>
      <c r="B875">
        <v>1</v>
      </c>
      <c r="C875">
        <v>0</v>
      </c>
      <c r="D875">
        <v>2</v>
      </c>
      <c r="E875" t="s">
        <v>14</v>
      </c>
      <c r="F875">
        <v>1</v>
      </c>
      <c r="G875">
        <v>0</v>
      </c>
      <c r="H875">
        <v>2</v>
      </c>
    </row>
    <row r="876" spans="1:8" x14ac:dyDescent="0.3">
      <c r="A876">
        <v>3</v>
      </c>
      <c r="B876">
        <v>1</v>
      </c>
      <c r="C876">
        <v>1</v>
      </c>
      <c r="D876">
        <v>1</v>
      </c>
      <c r="E876" t="s">
        <v>14</v>
      </c>
      <c r="F876">
        <v>0</v>
      </c>
      <c r="G876">
        <v>2</v>
      </c>
      <c r="H876">
        <v>1</v>
      </c>
    </row>
    <row r="877" spans="1:8" x14ac:dyDescent="0.3">
      <c r="A877">
        <v>3</v>
      </c>
      <c r="B877">
        <v>0</v>
      </c>
      <c r="C877">
        <v>2</v>
      </c>
      <c r="D877">
        <v>1</v>
      </c>
      <c r="E877" t="s">
        <v>14</v>
      </c>
      <c r="F877">
        <v>0</v>
      </c>
      <c r="G877">
        <v>2</v>
      </c>
      <c r="H877">
        <v>1</v>
      </c>
    </row>
    <row r="878" spans="1:8" x14ac:dyDescent="0.3">
      <c r="A878">
        <v>3</v>
      </c>
      <c r="B878">
        <v>1</v>
      </c>
      <c r="C878">
        <v>1</v>
      </c>
      <c r="D878">
        <v>1</v>
      </c>
      <c r="E878" t="s">
        <v>14</v>
      </c>
      <c r="F878">
        <v>0</v>
      </c>
      <c r="G878">
        <v>2</v>
      </c>
      <c r="H878">
        <v>1</v>
      </c>
    </row>
    <row r="879" spans="1:8" x14ac:dyDescent="0.3">
      <c r="A879">
        <v>3</v>
      </c>
      <c r="B879">
        <v>1</v>
      </c>
      <c r="C879">
        <v>1</v>
      </c>
      <c r="D879">
        <v>1</v>
      </c>
      <c r="E879" t="s">
        <v>14</v>
      </c>
      <c r="F879">
        <v>1</v>
      </c>
      <c r="G879">
        <v>1</v>
      </c>
      <c r="H879">
        <v>1</v>
      </c>
    </row>
    <row r="880" spans="1:8" x14ac:dyDescent="0.3">
      <c r="A880">
        <v>3</v>
      </c>
      <c r="B880">
        <v>1</v>
      </c>
      <c r="C880">
        <v>1</v>
      </c>
      <c r="D880">
        <v>1</v>
      </c>
      <c r="E880" t="s">
        <v>14</v>
      </c>
      <c r="F880">
        <v>1</v>
      </c>
      <c r="G880">
        <v>1</v>
      </c>
      <c r="H880">
        <v>1</v>
      </c>
    </row>
    <row r="881" spans="1:8" x14ac:dyDescent="0.3">
      <c r="A881">
        <v>3</v>
      </c>
      <c r="B881">
        <v>1</v>
      </c>
      <c r="C881">
        <v>1</v>
      </c>
      <c r="D881">
        <v>1</v>
      </c>
      <c r="E881" t="s">
        <v>14</v>
      </c>
      <c r="F881">
        <v>1</v>
      </c>
      <c r="G881">
        <v>1</v>
      </c>
      <c r="H881">
        <v>1</v>
      </c>
    </row>
    <row r="882" spans="1:8" x14ac:dyDescent="0.3">
      <c r="A882">
        <v>3</v>
      </c>
      <c r="B882">
        <v>1</v>
      </c>
      <c r="C882">
        <v>1</v>
      </c>
      <c r="D882">
        <v>1</v>
      </c>
      <c r="E882" t="s">
        <v>14</v>
      </c>
      <c r="F882">
        <v>1</v>
      </c>
      <c r="G882">
        <v>1</v>
      </c>
      <c r="H882">
        <v>1</v>
      </c>
    </row>
    <row r="883" spans="1:8" x14ac:dyDescent="0.3">
      <c r="A883">
        <v>3</v>
      </c>
      <c r="B883">
        <v>1</v>
      </c>
      <c r="C883">
        <v>1</v>
      </c>
      <c r="D883">
        <v>1</v>
      </c>
      <c r="E883" t="s">
        <v>14</v>
      </c>
      <c r="F883">
        <v>1</v>
      </c>
      <c r="G883">
        <v>1</v>
      </c>
      <c r="H883">
        <v>1</v>
      </c>
    </row>
    <row r="884" spans="1:8" x14ac:dyDescent="0.3">
      <c r="A884">
        <v>3</v>
      </c>
      <c r="B884">
        <v>2</v>
      </c>
      <c r="C884">
        <v>1</v>
      </c>
      <c r="D884">
        <v>0</v>
      </c>
      <c r="E884" t="s">
        <v>14</v>
      </c>
      <c r="F884">
        <v>2</v>
      </c>
      <c r="G884">
        <v>1</v>
      </c>
      <c r="H884">
        <v>0</v>
      </c>
    </row>
    <row r="885" spans="1:8" x14ac:dyDescent="0.3">
      <c r="A885">
        <v>3</v>
      </c>
      <c r="B885">
        <v>1</v>
      </c>
      <c r="C885">
        <v>1</v>
      </c>
      <c r="D885">
        <v>1</v>
      </c>
      <c r="E885" t="s">
        <v>14</v>
      </c>
      <c r="F885">
        <v>1</v>
      </c>
      <c r="G885">
        <v>1</v>
      </c>
      <c r="H885">
        <v>1</v>
      </c>
    </row>
    <row r="886" spans="1:8" x14ac:dyDescent="0.3">
      <c r="A886">
        <v>3</v>
      </c>
      <c r="B886">
        <v>2</v>
      </c>
      <c r="C886">
        <v>1</v>
      </c>
      <c r="D886">
        <v>0</v>
      </c>
      <c r="E886" t="s">
        <v>14</v>
      </c>
      <c r="F886">
        <v>0</v>
      </c>
      <c r="G886">
        <v>2</v>
      </c>
      <c r="H886">
        <v>1</v>
      </c>
    </row>
    <row r="887" spans="1:8" x14ac:dyDescent="0.3">
      <c r="A887">
        <v>3</v>
      </c>
      <c r="B887">
        <v>1</v>
      </c>
      <c r="C887">
        <v>1</v>
      </c>
      <c r="D887">
        <v>1</v>
      </c>
      <c r="E887" t="s">
        <v>14</v>
      </c>
      <c r="F887">
        <v>0</v>
      </c>
      <c r="G887">
        <v>2</v>
      </c>
      <c r="H887">
        <v>1</v>
      </c>
    </row>
    <row r="888" spans="1:8" x14ac:dyDescent="0.3">
      <c r="A888">
        <v>3</v>
      </c>
      <c r="B888">
        <v>1</v>
      </c>
      <c r="C888">
        <v>1</v>
      </c>
      <c r="D888">
        <v>1</v>
      </c>
      <c r="E888" t="s">
        <v>14</v>
      </c>
      <c r="F888">
        <v>1</v>
      </c>
      <c r="G888">
        <v>1</v>
      </c>
      <c r="H888">
        <v>1</v>
      </c>
    </row>
    <row r="889" spans="1:8" x14ac:dyDescent="0.3">
      <c r="A889">
        <v>3</v>
      </c>
      <c r="B889">
        <v>1</v>
      </c>
      <c r="C889">
        <v>1</v>
      </c>
      <c r="D889">
        <v>1</v>
      </c>
      <c r="E889" t="s">
        <v>14</v>
      </c>
      <c r="F889">
        <v>1</v>
      </c>
      <c r="G889">
        <v>1</v>
      </c>
      <c r="H889">
        <v>1</v>
      </c>
    </row>
    <row r="890" spans="1:8" x14ac:dyDescent="0.3">
      <c r="A890">
        <v>3</v>
      </c>
      <c r="B890">
        <v>1</v>
      </c>
      <c r="C890">
        <v>1</v>
      </c>
      <c r="D890">
        <v>1</v>
      </c>
      <c r="E890" t="s">
        <v>14</v>
      </c>
      <c r="F890">
        <v>1</v>
      </c>
      <c r="G890">
        <v>1</v>
      </c>
      <c r="H890">
        <v>1</v>
      </c>
    </row>
    <row r="891" spans="1:8" x14ac:dyDescent="0.3">
      <c r="A891">
        <v>3</v>
      </c>
      <c r="B891">
        <v>1</v>
      </c>
      <c r="C891">
        <v>1</v>
      </c>
      <c r="D891">
        <v>1</v>
      </c>
      <c r="E891" t="s">
        <v>14</v>
      </c>
      <c r="F891">
        <v>1</v>
      </c>
      <c r="G891">
        <v>1</v>
      </c>
      <c r="H891">
        <v>1</v>
      </c>
    </row>
    <row r="892" spans="1:8" x14ac:dyDescent="0.3">
      <c r="A892">
        <v>4</v>
      </c>
      <c r="B892">
        <v>2</v>
      </c>
      <c r="C892">
        <v>1</v>
      </c>
      <c r="D892">
        <v>1</v>
      </c>
      <c r="E892" t="s">
        <v>14</v>
      </c>
      <c r="F892">
        <v>2</v>
      </c>
      <c r="G892">
        <v>1</v>
      </c>
      <c r="H892">
        <v>1</v>
      </c>
    </row>
    <row r="893" spans="1:8" x14ac:dyDescent="0.3">
      <c r="A893">
        <v>4</v>
      </c>
      <c r="B893">
        <v>2</v>
      </c>
      <c r="C893">
        <v>1</v>
      </c>
      <c r="D893">
        <v>1</v>
      </c>
      <c r="E893" t="s">
        <v>14</v>
      </c>
      <c r="F893">
        <v>2</v>
      </c>
      <c r="G893">
        <v>1</v>
      </c>
      <c r="H893">
        <v>1</v>
      </c>
    </row>
    <row r="894" spans="1:8" x14ac:dyDescent="0.3">
      <c r="A894">
        <v>4</v>
      </c>
      <c r="B894">
        <v>1</v>
      </c>
      <c r="C894">
        <v>1</v>
      </c>
      <c r="D894">
        <v>2</v>
      </c>
      <c r="E894" t="s">
        <v>14</v>
      </c>
      <c r="F894">
        <v>2</v>
      </c>
      <c r="G894">
        <v>0</v>
      </c>
      <c r="H894">
        <v>2</v>
      </c>
    </row>
    <row r="895" spans="1:8" x14ac:dyDescent="0.3">
      <c r="A895">
        <v>4</v>
      </c>
      <c r="B895">
        <v>1</v>
      </c>
      <c r="C895">
        <v>2</v>
      </c>
      <c r="D895">
        <v>1</v>
      </c>
      <c r="E895" t="s">
        <v>14</v>
      </c>
      <c r="F895">
        <v>1</v>
      </c>
      <c r="G895">
        <v>2</v>
      </c>
      <c r="H895">
        <v>1</v>
      </c>
    </row>
    <row r="896" spans="1:8" x14ac:dyDescent="0.3">
      <c r="A896">
        <v>4</v>
      </c>
      <c r="B896">
        <v>2</v>
      </c>
      <c r="C896">
        <v>1</v>
      </c>
      <c r="D896">
        <v>1</v>
      </c>
      <c r="E896" t="s">
        <v>14</v>
      </c>
      <c r="F896">
        <v>0</v>
      </c>
      <c r="G896">
        <v>2</v>
      </c>
      <c r="H896">
        <v>2</v>
      </c>
    </row>
    <row r="897" spans="1:8" x14ac:dyDescent="0.3">
      <c r="A897">
        <v>4</v>
      </c>
      <c r="B897">
        <v>2</v>
      </c>
      <c r="C897">
        <v>1</v>
      </c>
      <c r="D897">
        <v>1</v>
      </c>
      <c r="E897" t="s">
        <v>14</v>
      </c>
      <c r="F897">
        <v>2</v>
      </c>
      <c r="G897">
        <v>1</v>
      </c>
      <c r="H897">
        <v>1</v>
      </c>
    </row>
    <row r="898" spans="1:8" x14ac:dyDescent="0.3">
      <c r="A898">
        <v>4</v>
      </c>
      <c r="B898">
        <v>1</v>
      </c>
      <c r="C898">
        <v>2</v>
      </c>
      <c r="D898">
        <v>1</v>
      </c>
      <c r="E898" t="s">
        <v>14</v>
      </c>
      <c r="F898">
        <v>1</v>
      </c>
      <c r="G898">
        <v>2</v>
      </c>
      <c r="H898">
        <v>1</v>
      </c>
    </row>
    <row r="899" spans="1:8" x14ac:dyDescent="0.3">
      <c r="A899">
        <v>4</v>
      </c>
      <c r="B899">
        <v>1</v>
      </c>
      <c r="C899">
        <v>2</v>
      </c>
      <c r="D899">
        <v>1</v>
      </c>
      <c r="E899" t="s">
        <v>14</v>
      </c>
      <c r="F899">
        <v>1</v>
      </c>
      <c r="G899">
        <v>2</v>
      </c>
      <c r="H899">
        <v>1</v>
      </c>
    </row>
    <row r="900" spans="1:8" x14ac:dyDescent="0.3">
      <c r="A900">
        <v>4</v>
      </c>
      <c r="B900">
        <v>2</v>
      </c>
      <c r="C900">
        <v>1</v>
      </c>
      <c r="D900">
        <v>1</v>
      </c>
      <c r="E900" t="s">
        <v>14</v>
      </c>
      <c r="F900">
        <v>2</v>
      </c>
      <c r="G900">
        <v>1</v>
      </c>
      <c r="H900">
        <v>1</v>
      </c>
    </row>
    <row r="901" spans="1:8" x14ac:dyDescent="0.3">
      <c r="A901">
        <v>4</v>
      </c>
      <c r="B901">
        <v>1</v>
      </c>
      <c r="C901">
        <v>1</v>
      </c>
      <c r="D901">
        <v>2</v>
      </c>
      <c r="E901" t="s">
        <v>14</v>
      </c>
      <c r="F901">
        <v>0</v>
      </c>
      <c r="G901">
        <v>2</v>
      </c>
      <c r="H901">
        <v>2</v>
      </c>
    </row>
    <row r="902" spans="1:8" x14ac:dyDescent="0.3">
      <c r="A902">
        <v>5</v>
      </c>
      <c r="B902">
        <v>2</v>
      </c>
      <c r="C902">
        <v>1</v>
      </c>
      <c r="D902">
        <v>2</v>
      </c>
      <c r="E902" t="s">
        <v>14</v>
      </c>
      <c r="F902">
        <v>2</v>
      </c>
      <c r="G902">
        <v>1</v>
      </c>
      <c r="H902">
        <v>2</v>
      </c>
    </row>
    <row r="903" spans="1:8" x14ac:dyDescent="0.3">
      <c r="A903">
        <v>5</v>
      </c>
      <c r="B903">
        <v>2</v>
      </c>
      <c r="C903">
        <v>1</v>
      </c>
      <c r="D903">
        <v>2</v>
      </c>
      <c r="E903" t="s">
        <v>14</v>
      </c>
      <c r="F903">
        <v>2</v>
      </c>
      <c r="G903">
        <v>1</v>
      </c>
      <c r="H903">
        <v>2</v>
      </c>
    </row>
    <row r="904" spans="1:8" x14ac:dyDescent="0.3">
      <c r="A904">
        <v>6</v>
      </c>
      <c r="B904">
        <v>1</v>
      </c>
      <c r="C904">
        <v>2</v>
      </c>
      <c r="D904">
        <v>3</v>
      </c>
      <c r="E904" t="s">
        <v>14</v>
      </c>
      <c r="F904">
        <v>1</v>
      </c>
      <c r="G904">
        <v>2</v>
      </c>
      <c r="H904">
        <v>3</v>
      </c>
    </row>
    <row r="905" spans="1:8" x14ac:dyDescent="0.3">
      <c r="A905">
        <v>6</v>
      </c>
      <c r="B905">
        <v>1</v>
      </c>
      <c r="C905">
        <v>2</v>
      </c>
      <c r="D905">
        <v>3</v>
      </c>
      <c r="E905" t="s">
        <v>14</v>
      </c>
      <c r="F905">
        <v>1</v>
      </c>
      <c r="G905">
        <v>2</v>
      </c>
      <c r="H905">
        <v>3</v>
      </c>
    </row>
    <row r="906" spans="1:8" x14ac:dyDescent="0.3">
      <c r="A906">
        <v>7</v>
      </c>
      <c r="B906">
        <v>2</v>
      </c>
      <c r="C906">
        <v>2</v>
      </c>
      <c r="D906">
        <v>3</v>
      </c>
      <c r="E906" t="s">
        <v>14</v>
      </c>
      <c r="F906">
        <v>2</v>
      </c>
      <c r="G906">
        <v>2</v>
      </c>
      <c r="H906">
        <v>3</v>
      </c>
    </row>
    <row r="907" spans="1:8" x14ac:dyDescent="0.3">
      <c r="A907">
        <v>7</v>
      </c>
      <c r="B907">
        <v>3</v>
      </c>
      <c r="C907">
        <v>2</v>
      </c>
      <c r="D907">
        <v>2</v>
      </c>
      <c r="E907" t="s">
        <v>14</v>
      </c>
      <c r="F907">
        <v>3</v>
      </c>
      <c r="G907">
        <v>2</v>
      </c>
      <c r="H907">
        <v>2</v>
      </c>
    </row>
    <row r="908" spans="1:8" x14ac:dyDescent="0.3">
      <c r="A908">
        <v>7</v>
      </c>
      <c r="B908">
        <v>2</v>
      </c>
      <c r="C908">
        <v>3</v>
      </c>
      <c r="D908">
        <v>2</v>
      </c>
      <c r="E908" t="s">
        <v>14</v>
      </c>
      <c r="F908">
        <v>2</v>
      </c>
      <c r="G908">
        <v>3</v>
      </c>
      <c r="H908">
        <v>2</v>
      </c>
    </row>
    <row r="909" spans="1:8" x14ac:dyDescent="0.3">
      <c r="A909">
        <v>8</v>
      </c>
      <c r="B909">
        <v>3</v>
      </c>
      <c r="C909">
        <v>2</v>
      </c>
      <c r="D909">
        <v>3</v>
      </c>
      <c r="E909" t="s">
        <v>14</v>
      </c>
      <c r="F909">
        <v>3</v>
      </c>
      <c r="G909">
        <v>2</v>
      </c>
      <c r="H909">
        <v>3</v>
      </c>
    </row>
    <row r="910" spans="1:8" x14ac:dyDescent="0.3">
      <c r="A910">
        <v>8</v>
      </c>
      <c r="B910">
        <v>3</v>
      </c>
      <c r="C910">
        <v>3</v>
      </c>
      <c r="D910">
        <v>2</v>
      </c>
      <c r="E910" t="s">
        <v>14</v>
      </c>
      <c r="F910">
        <v>3</v>
      </c>
      <c r="G910">
        <v>3</v>
      </c>
      <c r="H910">
        <v>2</v>
      </c>
    </row>
    <row r="911" spans="1:8" x14ac:dyDescent="0.3">
      <c r="A911">
        <v>2</v>
      </c>
      <c r="B911">
        <v>1</v>
      </c>
      <c r="C911">
        <v>1</v>
      </c>
      <c r="D911">
        <v>0</v>
      </c>
      <c r="E911" t="s">
        <v>14</v>
      </c>
      <c r="F911">
        <v>0</v>
      </c>
      <c r="G911">
        <v>0</v>
      </c>
      <c r="H911">
        <v>2</v>
      </c>
    </row>
    <row r="912" spans="1:8" x14ac:dyDescent="0.3">
      <c r="A912">
        <v>2</v>
      </c>
      <c r="B912">
        <v>1</v>
      </c>
      <c r="C912">
        <v>0</v>
      </c>
      <c r="D912">
        <v>1</v>
      </c>
      <c r="E912" t="s">
        <v>14</v>
      </c>
      <c r="F912">
        <v>0</v>
      </c>
      <c r="G912">
        <v>0</v>
      </c>
      <c r="H912">
        <v>2</v>
      </c>
    </row>
    <row r="913" spans="1:8" x14ac:dyDescent="0.3">
      <c r="A913">
        <v>2</v>
      </c>
      <c r="B913">
        <v>0</v>
      </c>
      <c r="C913">
        <v>1</v>
      </c>
      <c r="D913">
        <v>1</v>
      </c>
      <c r="E913" t="s">
        <v>14</v>
      </c>
      <c r="F913">
        <v>0</v>
      </c>
      <c r="G913">
        <v>2</v>
      </c>
      <c r="H913">
        <v>0</v>
      </c>
    </row>
    <row r="914" spans="1:8" x14ac:dyDescent="0.3">
      <c r="A914">
        <v>2</v>
      </c>
      <c r="B914">
        <v>1</v>
      </c>
      <c r="C914">
        <v>0</v>
      </c>
      <c r="D914">
        <v>1</v>
      </c>
      <c r="E914" t="s">
        <v>14</v>
      </c>
      <c r="F914">
        <v>1</v>
      </c>
      <c r="G914">
        <v>0</v>
      </c>
      <c r="H914">
        <v>1</v>
      </c>
    </row>
    <row r="915" spans="1:8" x14ac:dyDescent="0.3">
      <c r="A915">
        <v>2</v>
      </c>
      <c r="B915">
        <v>1</v>
      </c>
      <c r="C915">
        <v>1</v>
      </c>
      <c r="D915">
        <v>0</v>
      </c>
      <c r="E915" t="s">
        <v>14</v>
      </c>
      <c r="F915">
        <v>0</v>
      </c>
      <c r="G915">
        <v>2</v>
      </c>
      <c r="H915">
        <v>0</v>
      </c>
    </row>
    <row r="916" spans="1:8" x14ac:dyDescent="0.3">
      <c r="A916">
        <v>2</v>
      </c>
      <c r="B916">
        <v>1</v>
      </c>
      <c r="C916">
        <v>0</v>
      </c>
      <c r="D916">
        <v>1</v>
      </c>
      <c r="E916" t="s">
        <v>14</v>
      </c>
      <c r="F916">
        <v>0</v>
      </c>
      <c r="G916">
        <v>2</v>
      </c>
      <c r="H916">
        <v>0</v>
      </c>
    </row>
    <row r="917" spans="1:8" x14ac:dyDescent="0.3">
      <c r="A917">
        <v>3</v>
      </c>
      <c r="B917">
        <v>1</v>
      </c>
      <c r="C917">
        <v>1</v>
      </c>
      <c r="D917">
        <v>1</v>
      </c>
      <c r="E917" t="s">
        <v>14</v>
      </c>
      <c r="F917">
        <v>1</v>
      </c>
      <c r="G917">
        <v>1</v>
      </c>
      <c r="H917">
        <v>1</v>
      </c>
    </row>
    <row r="918" spans="1:8" x14ac:dyDescent="0.3">
      <c r="A918">
        <v>3</v>
      </c>
      <c r="B918">
        <v>1</v>
      </c>
      <c r="C918">
        <v>1</v>
      </c>
      <c r="D918">
        <v>1</v>
      </c>
      <c r="E918" t="s">
        <v>14</v>
      </c>
      <c r="F918">
        <v>1</v>
      </c>
      <c r="G918">
        <v>0</v>
      </c>
      <c r="H918">
        <v>2</v>
      </c>
    </row>
    <row r="919" spans="1:8" x14ac:dyDescent="0.3">
      <c r="A919">
        <v>3</v>
      </c>
      <c r="B919">
        <v>1</v>
      </c>
      <c r="C919">
        <v>1</v>
      </c>
      <c r="D919">
        <v>1</v>
      </c>
      <c r="E919" t="s">
        <v>14</v>
      </c>
      <c r="F919">
        <v>1</v>
      </c>
      <c r="G919">
        <v>1</v>
      </c>
      <c r="H919">
        <v>1</v>
      </c>
    </row>
    <row r="920" spans="1:8" x14ac:dyDescent="0.3">
      <c r="A920">
        <v>3</v>
      </c>
      <c r="B920">
        <v>1</v>
      </c>
      <c r="C920">
        <v>1</v>
      </c>
      <c r="D920">
        <v>1</v>
      </c>
      <c r="E920" t="s">
        <v>14</v>
      </c>
      <c r="F920">
        <v>0</v>
      </c>
      <c r="G920">
        <v>2</v>
      </c>
      <c r="H920">
        <v>1</v>
      </c>
    </row>
    <row r="921" spans="1:8" x14ac:dyDescent="0.3">
      <c r="A921">
        <v>3</v>
      </c>
      <c r="B921">
        <v>1</v>
      </c>
      <c r="C921">
        <v>1</v>
      </c>
      <c r="D921">
        <v>1</v>
      </c>
      <c r="E921" t="s">
        <v>14</v>
      </c>
      <c r="F921">
        <v>1</v>
      </c>
      <c r="G921">
        <v>1</v>
      </c>
      <c r="H921">
        <v>1</v>
      </c>
    </row>
    <row r="922" spans="1:8" x14ac:dyDescent="0.3">
      <c r="A922">
        <v>3</v>
      </c>
      <c r="B922">
        <v>1</v>
      </c>
      <c r="C922">
        <v>1</v>
      </c>
      <c r="D922">
        <v>1</v>
      </c>
      <c r="E922" t="s">
        <v>14</v>
      </c>
      <c r="F922">
        <v>1</v>
      </c>
      <c r="G922">
        <v>1</v>
      </c>
      <c r="H922">
        <v>1</v>
      </c>
    </row>
    <row r="923" spans="1:8" x14ac:dyDescent="0.3">
      <c r="A923">
        <v>3</v>
      </c>
      <c r="B923">
        <v>1</v>
      </c>
      <c r="C923">
        <v>1</v>
      </c>
      <c r="D923">
        <v>1</v>
      </c>
      <c r="E923" t="s">
        <v>14</v>
      </c>
      <c r="F923">
        <v>1</v>
      </c>
      <c r="G923">
        <v>1</v>
      </c>
      <c r="H923">
        <v>1</v>
      </c>
    </row>
    <row r="924" spans="1:8" x14ac:dyDescent="0.3">
      <c r="A924">
        <v>3</v>
      </c>
      <c r="B924">
        <v>0</v>
      </c>
      <c r="C924">
        <v>2</v>
      </c>
      <c r="D924">
        <v>1</v>
      </c>
      <c r="E924" t="s">
        <v>14</v>
      </c>
      <c r="F924">
        <v>0</v>
      </c>
      <c r="G924">
        <v>2</v>
      </c>
      <c r="H924">
        <v>1</v>
      </c>
    </row>
    <row r="925" spans="1:8" x14ac:dyDescent="0.3">
      <c r="A925">
        <v>3</v>
      </c>
      <c r="B925">
        <v>1</v>
      </c>
      <c r="C925">
        <v>1</v>
      </c>
      <c r="D925">
        <v>1</v>
      </c>
      <c r="E925" t="s">
        <v>14</v>
      </c>
      <c r="F925">
        <v>1</v>
      </c>
      <c r="G925">
        <v>1</v>
      </c>
      <c r="H925">
        <v>1</v>
      </c>
    </row>
    <row r="926" spans="1:8" x14ac:dyDescent="0.3">
      <c r="A926">
        <v>3</v>
      </c>
      <c r="B926">
        <v>2</v>
      </c>
      <c r="C926">
        <v>1</v>
      </c>
      <c r="D926">
        <v>0</v>
      </c>
      <c r="E926" t="s">
        <v>14</v>
      </c>
      <c r="F926">
        <v>2</v>
      </c>
      <c r="G926">
        <v>1</v>
      </c>
      <c r="H926">
        <v>0</v>
      </c>
    </row>
    <row r="927" spans="1:8" x14ac:dyDescent="0.3">
      <c r="A927">
        <v>3</v>
      </c>
      <c r="B927">
        <v>0</v>
      </c>
      <c r="C927">
        <v>2</v>
      </c>
      <c r="D927">
        <v>1</v>
      </c>
      <c r="E927" t="s">
        <v>14</v>
      </c>
      <c r="F927">
        <v>0</v>
      </c>
      <c r="G927">
        <v>2</v>
      </c>
      <c r="H927">
        <v>1</v>
      </c>
    </row>
    <row r="928" spans="1:8" x14ac:dyDescent="0.3">
      <c r="A928">
        <v>3</v>
      </c>
      <c r="B928">
        <v>0</v>
      </c>
      <c r="C928">
        <v>2</v>
      </c>
      <c r="D928">
        <v>1</v>
      </c>
      <c r="E928" t="s">
        <v>14</v>
      </c>
      <c r="F928">
        <v>0</v>
      </c>
      <c r="G928">
        <v>2</v>
      </c>
      <c r="H928">
        <v>1</v>
      </c>
    </row>
    <row r="929" spans="1:8" x14ac:dyDescent="0.3">
      <c r="A929">
        <v>3</v>
      </c>
      <c r="B929">
        <v>1</v>
      </c>
      <c r="C929">
        <v>1</v>
      </c>
      <c r="D929">
        <v>1</v>
      </c>
      <c r="E929" t="s">
        <v>14</v>
      </c>
      <c r="F929">
        <v>2</v>
      </c>
      <c r="G929">
        <v>1</v>
      </c>
      <c r="H929">
        <v>0</v>
      </c>
    </row>
    <row r="930" spans="1:8" x14ac:dyDescent="0.3">
      <c r="A930">
        <v>3</v>
      </c>
      <c r="B930">
        <v>1</v>
      </c>
      <c r="C930">
        <v>0</v>
      </c>
      <c r="D930">
        <v>2</v>
      </c>
      <c r="E930" t="s">
        <v>14</v>
      </c>
      <c r="F930">
        <v>1</v>
      </c>
      <c r="G930">
        <v>0</v>
      </c>
      <c r="H930">
        <v>2</v>
      </c>
    </row>
    <row r="931" spans="1:8" x14ac:dyDescent="0.3">
      <c r="A931">
        <v>3</v>
      </c>
      <c r="B931">
        <v>1</v>
      </c>
      <c r="C931">
        <v>1</v>
      </c>
      <c r="D931">
        <v>1</v>
      </c>
      <c r="E931" t="s">
        <v>14</v>
      </c>
      <c r="F931">
        <v>1</v>
      </c>
      <c r="G931">
        <v>1</v>
      </c>
      <c r="H931">
        <v>1</v>
      </c>
    </row>
    <row r="932" spans="1:8" x14ac:dyDescent="0.3">
      <c r="A932">
        <v>3</v>
      </c>
      <c r="B932">
        <v>1</v>
      </c>
      <c r="C932">
        <v>1</v>
      </c>
      <c r="D932">
        <v>1</v>
      </c>
      <c r="E932" t="s">
        <v>14</v>
      </c>
      <c r="F932">
        <v>1</v>
      </c>
      <c r="G932">
        <v>0</v>
      </c>
      <c r="H932">
        <v>2</v>
      </c>
    </row>
    <row r="933" spans="1:8" x14ac:dyDescent="0.3">
      <c r="A933">
        <v>3</v>
      </c>
      <c r="B933">
        <v>0</v>
      </c>
      <c r="C933">
        <v>2</v>
      </c>
      <c r="D933">
        <v>1</v>
      </c>
      <c r="E933" t="s">
        <v>14</v>
      </c>
      <c r="F933">
        <v>1</v>
      </c>
      <c r="G933">
        <v>0</v>
      </c>
      <c r="H933">
        <v>2</v>
      </c>
    </row>
    <row r="934" spans="1:8" x14ac:dyDescent="0.3">
      <c r="A934">
        <v>3</v>
      </c>
      <c r="B934">
        <v>0</v>
      </c>
      <c r="C934">
        <v>2</v>
      </c>
      <c r="D934">
        <v>1</v>
      </c>
      <c r="E934" t="s">
        <v>14</v>
      </c>
      <c r="F934">
        <v>1</v>
      </c>
      <c r="G934">
        <v>0</v>
      </c>
      <c r="H934">
        <v>2</v>
      </c>
    </row>
    <row r="935" spans="1:8" x14ac:dyDescent="0.3">
      <c r="A935">
        <v>3</v>
      </c>
      <c r="B935">
        <v>1</v>
      </c>
      <c r="C935">
        <v>1</v>
      </c>
      <c r="D935">
        <v>1</v>
      </c>
      <c r="E935" t="s">
        <v>14</v>
      </c>
      <c r="F935">
        <v>1</v>
      </c>
      <c r="G935">
        <v>1</v>
      </c>
      <c r="H935">
        <v>1</v>
      </c>
    </row>
    <row r="936" spans="1:8" x14ac:dyDescent="0.3">
      <c r="A936">
        <v>3</v>
      </c>
      <c r="B936">
        <v>0</v>
      </c>
      <c r="C936">
        <v>2</v>
      </c>
      <c r="D936">
        <v>1</v>
      </c>
      <c r="E936" t="s">
        <v>14</v>
      </c>
      <c r="F936">
        <v>1</v>
      </c>
      <c r="G936">
        <v>0</v>
      </c>
      <c r="H936">
        <v>2</v>
      </c>
    </row>
    <row r="937" spans="1:8" x14ac:dyDescent="0.3">
      <c r="A937">
        <v>3</v>
      </c>
      <c r="B937">
        <v>2</v>
      </c>
      <c r="C937">
        <v>1</v>
      </c>
      <c r="D937">
        <v>0</v>
      </c>
      <c r="E937" t="s">
        <v>14</v>
      </c>
      <c r="F937">
        <v>2</v>
      </c>
      <c r="G937">
        <v>1</v>
      </c>
      <c r="H937">
        <v>0</v>
      </c>
    </row>
    <row r="938" spans="1:8" x14ac:dyDescent="0.3">
      <c r="A938">
        <v>3</v>
      </c>
      <c r="B938">
        <v>1</v>
      </c>
      <c r="C938">
        <v>1</v>
      </c>
      <c r="D938">
        <v>1</v>
      </c>
      <c r="E938" t="s">
        <v>14</v>
      </c>
      <c r="F938">
        <v>0</v>
      </c>
      <c r="G938">
        <v>2</v>
      </c>
      <c r="H938">
        <v>1</v>
      </c>
    </row>
    <row r="939" spans="1:8" x14ac:dyDescent="0.3">
      <c r="A939">
        <v>3</v>
      </c>
      <c r="B939">
        <v>1</v>
      </c>
      <c r="C939">
        <v>1</v>
      </c>
      <c r="D939">
        <v>1</v>
      </c>
      <c r="E939" t="s">
        <v>14</v>
      </c>
      <c r="F939">
        <v>1</v>
      </c>
      <c r="G939">
        <v>0</v>
      </c>
      <c r="H939">
        <v>2</v>
      </c>
    </row>
    <row r="940" spans="1:8" x14ac:dyDescent="0.3">
      <c r="A940">
        <v>3</v>
      </c>
      <c r="B940">
        <v>2</v>
      </c>
      <c r="C940">
        <v>1</v>
      </c>
      <c r="D940">
        <v>0</v>
      </c>
      <c r="E940" t="s">
        <v>14</v>
      </c>
      <c r="F940">
        <v>0</v>
      </c>
      <c r="G940">
        <v>2</v>
      </c>
      <c r="H940">
        <v>1</v>
      </c>
    </row>
    <row r="941" spans="1:8" x14ac:dyDescent="0.3">
      <c r="A941">
        <v>3</v>
      </c>
      <c r="B941">
        <v>1</v>
      </c>
      <c r="C941">
        <v>1</v>
      </c>
      <c r="D941">
        <v>1</v>
      </c>
      <c r="E941" t="s">
        <v>14</v>
      </c>
      <c r="F941">
        <v>1</v>
      </c>
      <c r="G941">
        <v>1</v>
      </c>
      <c r="H941">
        <v>1</v>
      </c>
    </row>
    <row r="942" spans="1:8" x14ac:dyDescent="0.3">
      <c r="A942">
        <v>3</v>
      </c>
      <c r="B942">
        <v>1</v>
      </c>
      <c r="C942">
        <v>1</v>
      </c>
      <c r="D942">
        <v>1</v>
      </c>
      <c r="E942" t="s">
        <v>14</v>
      </c>
      <c r="F942">
        <v>2</v>
      </c>
      <c r="G942">
        <v>1</v>
      </c>
      <c r="H942">
        <v>0</v>
      </c>
    </row>
    <row r="943" spans="1:8" x14ac:dyDescent="0.3">
      <c r="A943">
        <v>3</v>
      </c>
      <c r="B943">
        <v>0</v>
      </c>
      <c r="C943">
        <v>2</v>
      </c>
      <c r="D943">
        <v>1</v>
      </c>
      <c r="E943" t="s">
        <v>14</v>
      </c>
      <c r="F943">
        <v>2</v>
      </c>
      <c r="G943">
        <v>1</v>
      </c>
      <c r="H943">
        <v>0</v>
      </c>
    </row>
    <row r="944" spans="1:8" x14ac:dyDescent="0.3">
      <c r="A944">
        <v>3</v>
      </c>
      <c r="B944">
        <v>1</v>
      </c>
      <c r="C944">
        <v>1</v>
      </c>
      <c r="D944">
        <v>1</v>
      </c>
      <c r="E944" t="s">
        <v>14</v>
      </c>
      <c r="F944">
        <v>1</v>
      </c>
      <c r="G944">
        <v>0</v>
      </c>
      <c r="H944">
        <v>2</v>
      </c>
    </row>
    <row r="945" spans="1:8" x14ac:dyDescent="0.3">
      <c r="A945">
        <v>3</v>
      </c>
      <c r="B945">
        <v>1</v>
      </c>
      <c r="C945">
        <v>1</v>
      </c>
      <c r="D945">
        <v>1</v>
      </c>
      <c r="E945" t="s">
        <v>14</v>
      </c>
      <c r="F945">
        <v>1</v>
      </c>
      <c r="G945">
        <v>1</v>
      </c>
      <c r="H945">
        <v>1</v>
      </c>
    </row>
    <row r="946" spans="1:8" x14ac:dyDescent="0.3">
      <c r="A946">
        <v>3</v>
      </c>
      <c r="B946">
        <v>1</v>
      </c>
      <c r="C946">
        <v>1</v>
      </c>
      <c r="D946">
        <v>1</v>
      </c>
      <c r="E946" t="s">
        <v>14</v>
      </c>
      <c r="F946">
        <v>1</v>
      </c>
      <c r="G946">
        <v>1</v>
      </c>
      <c r="H946">
        <v>1</v>
      </c>
    </row>
    <row r="947" spans="1:8" x14ac:dyDescent="0.3">
      <c r="A947">
        <v>3</v>
      </c>
      <c r="B947">
        <v>1</v>
      </c>
      <c r="C947">
        <v>0</v>
      </c>
      <c r="D947">
        <v>2</v>
      </c>
      <c r="E947" t="s">
        <v>14</v>
      </c>
      <c r="F947">
        <v>1</v>
      </c>
      <c r="G947">
        <v>0</v>
      </c>
      <c r="H947">
        <v>2</v>
      </c>
    </row>
    <row r="948" spans="1:8" x14ac:dyDescent="0.3">
      <c r="A948">
        <v>3</v>
      </c>
      <c r="B948">
        <v>1</v>
      </c>
      <c r="C948">
        <v>1</v>
      </c>
      <c r="D948">
        <v>1</v>
      </c>
      <c r="E948" t="s">
        <v>14</v>
      </c>
      <c r="F948">
        <v>1</v>
      </c>
      <c r="G948">
        <v>1</v>
      </c>
      <c r="H948">
        <v>1</v>
      </c>
    </row>
    <row r="949" spans="1:8" x14ac:dyDescent="0.3">
      <c r="A949">
        <v>3</v>
      </c>
      <c r="B949">
        <v>1</v>
      </c>
      <c r="C949">
        <v>1</v>
      </c>
      <c r="D949">
        <v>1</v>
      </c>
      <c r="E949" t="s">
        <v>14</v>
      </c>
      <c r="F949">
        <v>1</v>
      </c>
      <c r="G949">
        <v>1</v>
      </c>
      <c r="H949">
        <v>1</v>
      </c>
    </row>
    <row r="950" spans="1:8" x14ac:dyDescent="0.3">
      <c r="A950">
        <v>3</v>
      </c>
      <c r="B950">
        <v>1</v>
      </c>
      <c r="C950">
        <v>1</v>
      </c>
      <c r="D950">
        <v>1</v>
      </c>
      <c r="E950" t="s">
        <v>14</v>
      </c>
      <c r="F950">
        <v>1</v>
      </c>
      <c r="G950">
        <v>0</v>
      </c>
      <c r="H950">
        <v>2</v>
      </c>
    </row>
    <row r="951" spans="1:8" x14ac:dyDescent="0.3">
      <c r="A951">
        <v>3</v>
      </c>
      <c r="B951">
        <v>1</v>
      </c>
      <c r="C951">
        <v>0</v>
      </c>
      <c r="D951">
        <v>2</v>
      </c>
      <c r="E951" t="s">
        <v>14</v>
      </c>
      <c r="F951">
        <v>2</v>
      </c>
      <c r="G951">
        <v>1</v>
      </c>
      <c r="H951">
        <v>0</v>
      </c>
    </row>
    <row r="952" spans="1:8" x14ac:dyDescent="0.3">
      <c r="A952">
        <v>3</v>
      </c>
      <c r="B952">
        <v>1</v>
      </c>
      <c r="C952">
        <v>1</v>
      </c>
      <c r="D952">
        <v>1</v>
      </c>
      <c r="E952" t="s">
        <v>14</v>
      </c>
      <c r="F952">
        <v>0</v>
      </c>
      <c r="G952">
        <v>2</v>
      </c>
      <c r="H952">
        <v>1</v>
      </c>
    </row>
    <row r="953" spans="1:8" x14ac:dyDescent="0.3">
      <c r="A953">
        <v>3</v>
      </c>
      <c r="B953">
        <v>1</v>
      </c>
      <c r="C953">
        <v>1</v>
      </c>
      <c r="D953">
        <v>1</v>
      </c>
      <c r="E953" t="s">
        <v>14</v>
      </c>
      <c r="F953">
        <v>1</v>
      </c>
      <c r="G953">
        <v>1</v>
      </c>
      <c r="H953">
        <v>1</v>
      </c>
    </row>
    <row r="954" spans="1:8" x14ac:dyDescent="0.3">
      <c r="A954">
        <v>3</v>
      </c>
      <c r="B954">
        <v>1</v>
      </c>
      <c r="C954">
        <v>0</v>
      </c>
      <c r="D954">
        <v>2</v>
      </c>
      <c r="E954" t="s">
        <v>14</v>
      </c>
      <c r="F954">
        <v>1</v>
      </c>
      <c r="G954">
        <v>0</v>
      </c>
      <c r="H954">
        <v>2</v>
      </c>
    </row>
    <row r="955" spans="1:8" x14ac:dyDescent="0.3">
      <c r="A955">
        <v>4</v>
      </c>
      <c r="B955">
        <v>1</v>
      </c>
      <c r="C955">
        <v>1</v>
      </c>
      <c r="D955">
        <v>2</v>
      </c>
      <c r="E955" t="s">
        <v>14</v>
      </c>
      <c r="F955">
        <v>1</v>
      </c>
      <c r="G955">
        <v>1</v>
      </c>
      <c r="H955">
        <v>2</v>
      </c>
    </row>
    <row r="956" spans="1:8" x14ac:dyDescent="0.3">
      <c r="A956">
        <v>4</v>
      </c>
      <c r="B956">
        <v>2</v>
      </c>
      <c r="C956">
        <v>1</v>
      </c>
      <c r="D956">
        <v>1</v>
      </c>
      <c r="E956" t="s">
        <v>14</v>
      </c>
      <c r="F956">
        <v>2</v>
      </c>
      <c r="G956">
        <v>1</v>
      </c>
      <c r="H956">
        <v>1</v>
      </c>
    </row>
    <row r="957" spans="1:8" x14ac:dyDescent="0.3">
      <c r="A957">
        <v>4</v>
      </c>
      <c r="B957">
        <v>1</v>
      </c>
      <c r="C957">
        <v>1</v>
      </c>
      <c r="D957">
        <v>2</v>
      </c>
      <c r="E957" t="s">
        <v>14</v>
      </c>
      <c r="F957">
        <v>1</v>
      </c>
      <c r="G957">
        <v>1</v>
      </c>
      <c r="H957">
        <v>2</v>
      </c>
    </row>
    <row r="958" spans="1:8" x14ac:dyDescent="0.3">
      <c r="A958">
        <v>4</v>
      </c>
      <c r="B958">
        <v>2</v>
      </c>
      <c r="C958">
        <v>1</v>
      </c>
      <c r="D958">
        <v>1</v>
      </c>
      <c r="E958" t="s">
        <v>14</v>
      </c>
      <c r="F958">
        <v>2</v>
      </c>
      <c r="G958">
        <v>1</v>
      </c>
      <c r="H958">
        <v>1</v>
      </c>
    </row>
    <row r="959" spans="1:8" x14ac:dyDescent="0.3">
      <c r="A959">
        <v>4</v>
      </c>
      <c r="B959">
        <v>1</v>
      </c>
      <c r="C959">
        <v>1</v>
      </c>
      <c r="D959">
        <v>2</v>
      </c>
      <c r="E959" t="s">
        <v>14</v>
      </c>
      <c r="F959">
        <v>1</v>
      </c>
      <c r="G959">
        <v>1</v>
      </c>
      <c r="H959">
        <v>2</v>
      </c>
    </row>
    <row r="960" spans="1:8" x14ac:dyDescent="0.3">
      <c r="A960">
        <v>4</v>
      </c>
      <c r="B960">
        <v>1</v>
      </c>
      <c r="C960">
        <v>1</v>
      </c>
      <c r="D960">
        <v>2</v>
      </c>
      <c r="E960" t="s">
        <v>14</v>
      </c>
      <c r="F960">
        <v>0</v>
      </c>
      <c r="G960">
        <v>2</v>
      </c>
      <c r="H960">
        <v>2</v>
      </c>
    </row>
    <row r="961" spans="1:8" x14ac:dyDescent="0.3">
      <c r="A961">
        <v>4</v>
      </c>
      <c r="B961">
        <v>1</v>
      </c>
      <c r="C961">
        <v>1</v>
      </c>
      <c r="D961">
        <v>2</v>
      </c>
      <c r="E961" t="s">
        <v>14</v>
      </c>
      <c r="F961">
        <v>1</v>
      </c>
      <c r="G961">
        <v>1</v>
      </c>
      <c r="H961">
        <v>2</v>
      </c>
    </row>
    <row r="962" spans="1:8" x14ac:dyDescent="0.3">
      <c r="A962">
        <v>5</v>
      </c>
      <c r="B962">
        <v>2</v>
      </c>
      <c r="C962">
        <v>1</v>
      </c>
      <c r="D962">
        <v>2</v>
      </c>
      <c r="E962" t="s">
        <v>14</v>
      </c>
      <c r="F962">
        <v>3</v>
      </c>
      <c r="G962">
        <v>0</v>
      </c>
      <c r="H962">
        <v>2</v>
      </c>
    </row>
    <row r="963" spans="1:8" x14ac:dyDescent="0.3">
      <c r="A963">
        <v>5</v>
      </c>
      <c r="B963">
        <v>1</v>
      </c>
      <c r="C963">
        <v>2</v>
      </c>
      <c r="D963">
        <v>2</v>
      </c>
      <c r="E963" t="s">
        <v>14</v>
      </c>
      <c r="F963">
        <v>1</v>
      </c>
      <c r="G963">
        <v>2</v>
      </c>
      <c r="H963">
        <v>2</v>
      </c>
    </row>
    <row r="964" spans="1:8" x14ac:dyDescent="0.3">
      <c r="A964">
        <v>5</v>
      </c>
      <c r="B964">
        <v>2</v>
      </c>
      <c r="C964">
        <v>2</v>
      </c>
      <c r="D964">
        <v>1</v>
      </c>
      <c r="E964" t="s">
        <v>14</v>
      </c>
      <c r="F964">
        <v>2</v>
      </c>
      <c r="G964">
        <v>2</v>
      </c>
      <c r="H964">
        <v>1</v>
      </c>
    </row>
    <row r="965" spans="1:8" x14ac:dyDescent="0.3">
      <c r="A965">
        <v>5</v>
      </c>
      <c r="B965">
        <v>1</v>
      </c>
      <c r="C965">
        <v>2</v>
      </c>
      <c r="D965">
        <v>2</v>
      </c>
      <c r="E965" t="s">
        <v>14</v>
      </c>
      <c r="F965">
        <v>1</v>
      </c>
      <c r="G965">
        <v>2</v>
      </c>
      <c r="H965">
        <v>2</v>
      </c>
    </row>
    <row r="966" spans="1:8" x14ac:dyDescent="0.3">
      <c r="A966">
        <v>5</v>
      </c>
      <c r="B966">
        <v>2</v>
      </c>
      <c r="C966">
        <v>2</v>
      </c>
      <c r="D966">
        <v>1</v>
      </c>
      <c r="E966" t="s">
        <v>14</v>
      </c>
      <c r="F966">
        <v>2</v>
      </c>
      <c r="G966">
        <v>2</v>
      </c>
      <c r="H966">
        <v>1</v>
      </c>
    </row>
    <row r="967" spans="1:8" x14ac:dyDescent="0.3">
      <c r="A967">
        <v>5</v>
      </c>
      <c r="B967">
        <v>2</v>
      </c>
      <c r="C967">
        <v>1</v>
      </c>
      <c r="D967">
        <v>2</v>
      </c>
      <c r="E967" t="s">
        <v>14</v>
      </c>
      <c r="F967">
        <v>3</v>
      </c>
      <c r="G967">
        <v>0</v>
      </c>
      <c r="H967">
        <v>2</v>
      </c>
    </row>
    <row r="968" spans="1:8" x14ac:dyDescent="0.3">
      <c r="A968">
        <v>5</v>
      </c>
      <c r="B968">
        <v>2</v>
      </c>
      <c r="C968">
        <v>1</v>
      </c>
      <c r="D968">
        <v>2</v>
      </c>
      <c r="E968" t="s">
        <v>14</v>
      </c>
      <c r="F968">
        <v>2</v>
      </c>
      <c r="G968">
        <v>1</v>
      </c>
      <c r="H968">
        <v>2</v>
      </c>
    </row>
    <row r="969" spans="1:8" x14ac:dyDescent="0.3">
      <c r="A969">
        <v>5</v>
      </c>
      <c r="B969">
        <v>2</v>
      </c>
      <c r="C969">
        <v>1</v>
      </c>
      <c r="D969">
        <v>2</v>
      </c>
      <c r="E969" t="s">
        <v>14</v>
      </c>
      <c r="F969">
        <v>2</v>
      </c>
      <c r="G969">
        <v>3</v>
      </c>
      <c r="H969">
        <v>0</v>
      </c>
    </row>
    <row r="970" spans="1:8" x14ac:dyDescent="0.3">
      <c r="A970">
        <v>5</v>
      </c>
      <c r="B970">
        <v>2</v>
      </c>
      <c r="C970">
        <v>2</v>
      </c>
      <c r="D970">
        <v>1</v>
      </c>
      <c r="E970" t="s">
        <v>14</v>
      </c>
      <c r="F970">
        <v>2</v>
      </c>
      <c r="G970">
        <v>2</v>
      </c>
      <c r="H970">
        <v>1</v>
      </c>
    </row>
    <row r="971" spans="1:8" x14ac:dyDescent="0.3">
      <c r="A971">
        <v>6</v>
      </c>
      <c r="B971">
        <v>1</v>
      </c>
      <c r="C971">
        <v>2</v>
      </c>
      <c r="D971">
        <v>3</v>
      </c>
      <c r="E971" t="s">
        <v>14</v>
      </c>
      <c r="F971">
        <v>1</v>
      </c>
      <c r="G971">
        <v>2</v>
      </c>
      <c r="H971">
        <v>3</v>
      </c>
    </row>
    <row r="972" spans="1:8" x14ac:dyDescent="0.3">
      <c r="A972">
        <v>6</v>
      </c>
      <c r="B972">
        <v>3</v>
      </c>
      <c r="C972">
        <v>1</v>
      </c>
      <c r="D972">
        <v>2</v>
      </c>
      <c r="E972" t="s">
        <v>14</v>
      </c>
      <c r="F972">
        <v>3</v>
      </c>
      <c r="G972">
        <v>1</v>
      </c>
      <c r="H972">
        <v>2</v>
      </c>
    </row>
    <row r="973" spans="1:8" x14ac:dyDescent="0.3">
      <c r="A973">
        <v>6</v>
      </c>
      <c r="B973">
        <v>1</v>
      </c>
      <c r="C973">
        <v>2</v>
      </c>
      <c r="D973">
        <v>3</v>
      </c>
      <c r="E973" t="s">
        <v>14</v>
      </c>
      <c r="F973">
        <v>1</v>
      </c>
      <c r="G973">
        <v>2</v>
      </c>
      <c r="H973">
        <v>3</v>
      </c>
    </row>
    <row r="974" spans="1:8" x14ac:dyDescent="0.3">
      <c r="A974">
        <v>7</v>
      </c>
      <c r="B974">
        <v>2</v>
      </c>
      <c r="C974">
        <v>2</v>
      </c>
      <c r="D974">
        <v>3</v>
      </c>
      <c r="E974" t="s">
        <v>14</v>
      </c>
      <c r="F974">
        <v>2</v>
      </c>
      <c r="G974">
        <v>2</v>
      </c>
      <c r="H974">
        <v>3</v>
      </c>
    </row>
    <row r="975" spans="1:8" x14ac:dyDescent="0.3">
      <c r="A975">
        <v>7</v>
      </c>
      <c r="B975">
        <v>2</v>
      </c>
      <c r="C975">
        <v>3</v>
      </c>
      <c r="D975">
        <v>2</v>
      </c>
      <c r="E975" t="s">
        <v>14</v>
      </c>
      <c r="F975">
        <v>2</v>
      </c>
      <c r="G975">
        <v>3</v>
      </c>
      <c r="H975">
        <v>2</v>
      </c>
    </row>
    <row r="976" spans="1:8" x14ac:dyDescent="0.3">
      <c r="A976">
        <v>7</v>
      </c>
      <c r="B976">
        <v>2</v>
      </c>
      <c r="C976">
        <v>3</v>
      </c>
      <c r="D976">
        <v>2</v>
      </c>
      <c r="E976" t="s">
        <v>14</v>
      </c>
      <c r="F976">
        <v>2</v>
      </c>
      <c r="G976">
        <v>3</v>
      </c>
      <c r="H976">
        <v>2</v>
      </c>
    </row>
    <row r="977" spans="1:8" x14ac:dyDescent="0.3">
      <c r="A977">
        <v>7</v>
      </c>
      <c r="B977">
        <v>2</v>
      </c>
      <c r="C977">
        <v>2</v>
      </c>
      <c r="D977">
        <v>3</v>
      </c>
      <c r="E977" t="s">
        <v>14</v>
      </c>
      <c r="F977">
        <v>2</v>
      </c>
      <c r="G977">
        <v>2</v>
      </c>
      <c r="H977">
        <v>3</v>
      </c>
    </row>
    <row r="978" spans="1:8" x14ac:dyDescent="0.3">
      <c r="A978">
        <v>8</v>
      </c>
      <c r="B978">
        <v>3</v>
      </c>
      <c r="C978">
        <v>3</v>
      </c>
      <c r="D978">
        <v>2</v>
      </c>
      <c r="E978" t="s">
        <v>14</v>
      </c>
      <c r="F978">
        <v>3</v>
      </c>
      <c r="G978">
        <v>3</v>
      </c>
      <c r="H978">
        <v>2</v>
      </c>
    </row>
    <row r="979" spans="1:8" x14ac:dyDescent="0.3">
      <c r="A979">
        <v>8</v>
      </c>
      <c r="B979">
        <v>2</v>
      </c>
      <c r="C979">
        <v>3</v>
      </c>
      <c r="D979">
        <v>3</v>
      </c>
      <c r="E979" t="s">
        <v>14</v>
      </c>
      <c r="F979">
        <v>2</v>
      </c>
      <c r="G979">
        <v>3</v>
      </c>
      <c r="H979">
        <v>3</v>
      </c>
    </row>
    <row r="980" spans="1:8" x14ac:dyDescent="0.3">
      <c r="A980">
        <v>8</v>
      </c>
      <c r="B980">
        <v>3</v>
      </c>
      <c r="C980">
        <v>3</v>
      </c>
      <c r="D980">
        <v>2</v>
      </c>
      <c r="E980" t="s">
        <v>14</v>
      </c>
      <c r="F980">
        <v>3</v>
      </c>
      <c r="G980">
        <v>3</v>
      </c>
      <c r="H980">
        <v>2</v>
      </c>
    </row>
    <row r="981" spans="1:8" x14ac:dyDescent="0.3">
      <c r="A981">
        <v>2</v>
      </c>
      <c r="B981">
        <v>0</v>
      </c>
      <c r="C981">
        <v>1</v>
      </c>
      <c r="D981">
        <v>1</v>
      </c>
      <c r="E981" t="s">
        <v>14</v>
      </c>
      <c r="F981">
        <v>0</v>
      </c>
      <c r="G981">
        <v>0</v>
      </c>
      <c r="H981">
        <v>2</v>
      </c>
    </row>
    <row r="982" spans="1:8" x14ac:dyDescent="0.3">
      <c r="A982">
        <v>2</v>
      </c>
      <c r="B982">
        <v>1</v>
      </c>
      <c r="C982">
        <v>1</v>
      </c>
      <c r="D982">
        <v>0</v>
      </c>
      <c r="E982" t="s">
        <v>14</v>
      </c>
      <c r="F982">
        <v>2</v>
      </c>
      <c r="G982">
        <v>0</v>
      </c>
      <c r="H982">
        <v>0</v>
      </c>
    </row>
    <row r="983" spans="1:8" x14ac:dyDescent="0.3">
      <c r="A983">
        <v>2</v>
      </c>
      <c r="B983">
        <v>1</v>
      </c>
      <c r="C983">
        <v>0</v>
      </c>
      <c r="D983">
        <v>1</v>
      </c>
      <c r="E983" t="s">
        <v>14</v>
      </c>
      <c r="F983">
        <v>0</v>
      </c>
      <c r="G983">
        <v>0</v>
      </c>
      <c r="H983">
        <v>2</v>
      </c>
    </row>
    <row r="984" spans="1:8" x14ac:dyDescent="0.3">
      <c r="A984">
        <v>2</v>
      </c>
      <c r="B984">
        <v>1</v>
      </c>
      <c r="C984">
        <v>1</v>
      </c>
      <c r="D984">
        <v>0</v>
      </c>
      <c r="E984" t="s">
        <v>14</v>
      </c>
      <c r="F984">
        <v>1</v>
      </c>
      <c r="G984">
        <v>1</v>
      </c>
      <c r="H984">
        <v>0</v>
      </c>
    </row>
    <row r="985" spans="1:8" x14ac:dyDescent="0.3">
      <c r="A985">
        <v>2</v>
      </c>
      <c r="B985">
        <v>1</v>
      </c>
      <c r="C985">
        <v>1</v>
      </c>
      <c r="D985">
        <v>0</v>
      </c>
      <c r="E985" t="s">
        <v>14</v>
      </c>
      <c r="F985">
        <v>1</v>
      </c>
      <c r="G985">
        <v>1</v>
      </c>
      <c r="H985">
        <v>0</v>
      </c>
    </row>
    <row r="986" spans="1:8" x14ac:dyDescent="0.3">
      <c r="A986">
        <v>2</v>
      </c>
      <c r="B986">
        <v>0</v>
      </c>
      <c r="C986">
        <v>1</v>
      </c>
      <c r="D986">
        <v>1</v>
      </c>
      <c r="E986" t="s">
        <v>14</v>
      </c>
      <c r="F986">
        <v>0</v>
      </c>
      <c r="G986">
        <v>2</v>
      </c>
      <c r="H986">
        <v>0</v>
      </c>
    </row>
    <row r="987" spans="1:8" x14ac:dyDescent="0.3">
      <c r="A987">
        <v>3</v>
      </c>
      <c r="B987">
        <v>1</v>
      </c>
      <c r="C987">
        <v>1</v>
      </c>
      <c r="D987">
        <v>1</v>
      </c>
      <c r="E987" t="s">
        <v>14</v>
      </c>
      <c r="F987">
        <v>1</v>
      </c>
      <c r="G987">
        <v>1</v>
      </c>
      <c r="H987">
        <v>1</v>
      </c>
    </row>
    <row r="988" spans="1:8" x14ac:dyDescent="0.3">
      <c r="A988">
        <v>3</v>
      </c>
      <c r="B988">
        <v>1</v>
      </c>
      <c r="C988">
        <v>1</v>
      </c>
      <c r="D988">
        <v>1</v>
      </c>
      <c r="E988" t="s">
        <v>14</v>
      </c>
      <c r="F988">
        <v>1</v>
      </c>
      <c r="G988">
        <v>0</v>
      </c>
      <c r="H988">
        <v>2</v>
      </c>
    </row>
    <row r="989" spans="1:8" x14ac:dyDescent="0.3">
      <c r="A989">
        <v>3</v>
      </c>
      <c r="B989">
        <v>1</v>
      </c>
      <c r="C989">
        <v>1</v>
      </c>
      <c r="D989">
        <v>1</v>
      </c>
      <c r="E989" t="s">
        <v>14</v>
      </c>
      <c r="F989">
        <v>1</v>
      </c>
      <c r="G989">
        <v>1</v>
      </c>
      <c r="H989">
        <v>1</v>
      </c>
    </row>
    <row r="990" spans="1:8" x14ac:dyDescent="0.3">
      <c r="A990">
        <v>3</v>
      </c>
      <c r="B990">
        <v>1</v>
      </c>
      <c r="C990">
        <v>1</v>
      </c>
      <c r="D990">
        <v>1</v>
      </c>
      <c r="E990" t="s">
        <v>14</v>
      </c>
      <c r="F990">
        <v>1</v>
      </c>
      <c r="G990">
        <v>1</v>
      </c>
      <c r="H990">
        <v>1</v>
      </c>
    </row>
    <row r="991" spans="1:8" x14ac:dyDescent="0.3">
      <c r="A991">
        <v>3</v>
      </c>
      <c r="B991">
        <v>1</v>
      </c>
      <c r="C991">
        <v>1</v>
      </c>
      <c r="D991">
        <v>1</v>
      </c>
      <c r="E991" t="s">
        <v>14</v>
      </c>
      <c r="F991">
        <v>1</v>
      </c>
      <c r="G991">
        <v>1</v>
      </c>
      <c r="H991">
        <v>1</v>
      </c>
    </row>
    <row r="992" spans="1:8" x14ac:dyDescent="0.3">
      <c r="A992">
        <v>3</v>
      </c>
      <c r="B992">
        <v>1</v>
      </c>
      <c r="C992">
        <v>1</v>
      </c>
      <c r="D992">
        <v>1</v>
      </c>
      <c r="E992" t="s">
        <v>14</v>
      </c>
      <c r="F992">
        <v>1</v>
      </c>
      <c r="G992">
        <v>0</v>
      </c>
      <c r="H992">
        <v>2</v>
      </c>
    </row>
    <row r="993" spans="1:8" x14ac:dyDescent="0.3">
      <c r="A993">
        <v>3</v>
      </c>
      <c r="B993">
        <v>1</v>
      </c>
      <c r="C993">
        <v>1</v>
      </c>
      <c r="D993">
        <v>1</v>
      </c>
      <c r="E993" t="s">
        <v>14</v>
      </c>
      <c r="F993">
        <v>1</v>
      </c>
      <c r="G993">
        <v>0</v>
      </c>
      <c r="H993">
        <v>2</v>
      </c>
    </row>
    <row r="994" spans="1:8" x14ac:dyDescent="0.3">
      <c r="A994">
        <v>3</v>
      </c>
      <c r="B994">
        <v>1</v>
      </c>
      <c r="C994">
        <v>1</v>
      </c>
      <c r="D994">
        <v>1</v>
      </c>
      <c r="E994" t="s">
        <v>14</v>
      </c>
      <c r="F994">
        <v>1</v>
      </c>
      <c r="G994">
        <v>1</v>
      </c>
      <c r="H994">
        <v>1</v>
      </c>
    </row>
    <row r="995" spans="1:8" x14ac:dyDescent="0.3">
      <c r="A995">
        <v>3</v>
      </c>
      <c r="B995">
        <v>2</v>
      </c>
      <c r="C995">
        <v>1</v>
      </c>
      <c r="D995">
        <v>0</v>
      </c>
      <c r="E995" t="s">
        <v>14</v>
      </c>
      <c r="F995">
        <v>0</v>
      </c>
      <c r="G995">
        <v>2</v>
      </c>
      <c r="H995">
        <v>1</v>
      </c>
    </row>
    <row r="996" spans="1:8" x14ac:dyDescent="0.3">
      <c r="A996">
        <v>3</v>
      </c>
      <c r="B996">
        <v>1</v>
      </c>
      <c r="C996">
        <v>1</v>
      </c>
      <c r="D996">
        <v>1</v>
      </c>
      <c r="E996" t="s">
        <v>14</v>
      </c>
      <c r="F996">
        <v>1</v>
      </c>
      <c r="G996">
        <v>1</v>
      </c>
      <c r="H996">
        <v>1</v>
      </c>
    </row>
    <row r="997" spans="1:8" x14ac:dyDescent="0.3">
      <c r="A997">
        <v>3</v>
      </c>
      <c r="B997">
        <v>0</v>
      </c>
      <c r="C997">
        <v>2</v>
      </c>
      <c r="D997">
        <v>1</v>
      </c>
      <c r="E997" t="s">
        <v>14</v>
      </c>
      <c r="F997">
        <v>0</v>
      </c>
      <c r="G997">
        <v>2</v>
      </c>
      <c r="H997">
        <v>1</v>
      </c>
    </row>
    <row r="998" spans="1:8" x14ac:dyDescent="0.3">
      <c r="A998">
        <v>3</v>
      </c>
      <c r="B998">
        <v>1</v>
      </c>
      <c r="C998">
        <v>1</v>
      </c>
      <c r="D998">
        <v>1</v>
      </c>
      <c r="E998" t="s">
        <v>14</v>
      </c>
      <c r="F998">
        <v>2</v>
      </c>
      <c r="G998">
        <v>1</v>
      </c>
      <c r="H998">
        <v>0</v>
      </c>
    </row>
    <row r="999" spans="1:8" x14ac:dyDescent="0.3">
      <c r="A999">
        <v>3</v>
      </c>
      <c r="B999">
        <v>0</v>
      </c>
      <c r="C999">
        <v>2</v>
      </c>
      <c r="D999">
        <v>1</v>
      </c>
      <c r="E999" t="s">
        <v>14</v>
      </c>
      <c r="F999">
        <v>0</v>
      </c>
      <c r="G999">
        <v>2</v>
      </c>
      <c r="H999">
        <v>1</v>
      </c>
    </row>
    <row r="1000" spans="1:8" x14ac:dyDescent="0.3">
      <c r="A1000">
        <v>3</v>
      </c>
      <c r="B1000">
        <v>1</v>
      </c>
      <c r="C1000">
        <v>1</v>
      </c>
      <c r="D1000">
        <v>1</v>
      </c>
      <c r="E1000" t="s">
        <v>14</v>
      </c>
      <c r="F1000">
        <v>0</v>
      </c>
      <c r="G1000">
        <v>2</v>
      </c>
      <c r="H1000">
        <v>1</v>
      </c>
    </row>
    <row r="1001" spans="1:8" x14ac:dyDescent="0.3">
      <c r="A1001">
        <v>3</v>
      </c>
      <c r="B1001">
        <v>1</v>
      </c>
      <c r="C1001">
        <v>1</v>
      </c>
      <c r="D1001">
        <v>1</v>
      </c>
      <c r="E1001" t="s">
        <v>14</v>
      </c>
      <c r="F1001">
        <v>1</v>
      </c>
      <c r="G1001">
        <v>1</v>
      </c>
      <c r="H1001">
        <v>1</v>
      </c>
    </row>
    <row r="1002" spans="1:8" x14ac:dyDescent="0.3">
      <c r="A1002">
        <v>3</v>
      </c>
      <c r="B1002">
        <v>1</v>
      </c>
      <c r="C1002">
        <v>1</v>
      </c>
      <c r="D1002">
        <v>1</v>
      </c>
      <c r="E1002" t="s">
        <v>14</v>
      </c>
      <c r="F1002">
        <v>1</v>
      </c>
      <c r="G1002">
        <v>0</v>
      </c>
      <c r="H1002">
        <v>2</v>
      </c>
    </row>
    <row r="1003" spans="1:8" x14ac:dyDescent="0.3">
      <c r="A1003">
        <v>3</v>
      </c>
      <c r="B1003">
        <v>1</v>
      </c>
      <c r="C1003">
        <v>1</v>
      </c>
      <c r="D1003">
        <v>1</v>
      </c>
      <c r="E1003" t="s">
        <v>14</v>
      </c>
      <c r="F1003">
        <v>1</v>
      </c>
      <c r="G1003">
        <v>1</v>
      </c>
      <c r="H1003">
        <v>1</v>
      </c>
    </row>
    <row r="1004" spans="1:8" x14ac:dyDescent="0.3">
      <c r="A1004">
        <v>3</v>
      </c>
      <c r="B1004">
        <v>1</v>
      </c>
      <c r="C1004">
        <v>1</v>
      </c>
      <c r="D1004">
        <v>1</v>
      </c>
      <c r="E1004" t="s">
        <v>14</v>
      </c>
      <c r="F1004">
        <v>1</v>
      </c>
      <c r="G1004">
        <v>0</v>
      </c>
      <c r="H1004">
        <v>2</v>
      </c>
    </row>
    <row r="1005" spans="1:8" x14ac:dyDescent="0.3">
      <c r="A1005">
        <v>3</v>
      </c>
      <c r="B1005">
        <v>1</v>
      </c>
      <c r="C1005">
        <v>1</v>
      </c>
      <c r="D1005">
        <v>1</v>
      </c>
      <c r="E1005" t="s">
        <v>14</v>
      </c>
      <c r="F1005">
        <v>1</v>
      </c>
      <c r="G1005">
        <v>1</v>
      </c>
      <c r="H1005">
        <v>1</v>
      </c>
    </row>
    <row r="1006" spans="1:8" x14ac:dyDescent="0.3">
      <c r="A1006">
        <v>3</v>
      </c>
      <c r="B1006">
        <v>1</v>
      </c>
      <c r="C1006">
        <v>1</v>
      </c>
      <c r="D1006">
        <v>1</v>
      </c>
      <c r="E1006" t="s">
        <v>14</v>
      </c>
      <c r="F1006">
        <v>1</v>
      </c>
      <c r="G1006">
        <v>1</v>
      </c>
      <c r="H1006">
        <v>1</v>
      </c>
    </row>
    <row r="1007" spans="1:8" x14ac:dyDescent="0.3">
      <c r="A1007">
        <v>3</v>
      </c>
      <c r="B1007">
        <v>1</v>
      </c>
      <c r="C1007">
        <v>1</v>
      </c>
      <c r="D1007">
        <v>1</v>
      </c>
      <c r="E1007" t="s">
        <v>14</v>
      </c>
      <c r="F1007">
        <v>0</v>
      </c>
      <c r="G1007">
        <v>2</v>
      </c>
      <c r="H1007">
        <v>1</v>
      </c>
    </row>
    <row r="1008" spans="1:8" x14ac:dyDescent="0.3">
      <c r="A1008">
        <v>3</v>
      </c>
      <c r="B1008">
        <v>1</v>
      </c>
      <c r="C1008">
        <v>1</v>
      </c>
      <c r="D1008">
        <v>1</v>
      </c>
      <c r="E1008" t="s">
        <v>14</v>
      </c>
      <c r="F1008">
        <v>1</v>
      </c>
      <c r="G1008">
        <v>1</v>
      </c>
      <c r="H1008">
        <v>1</v>
      </c>
    </row>
    <row r="1009" spans="1:8" x14ac:dyDescent="0.3">
      <c r="A1009">
        <v>3</v>
      </c>
      <c r="B1009">
        <v>1</v>
      </c>
      <c r="C1009">
        <v>1</v>
      </c>
      <c r="D1009">
        <v>1</v>
      </c>
      <c r="E1009" t="s">
        <v>14</v>
      </c>
      <c r="F1009">
        <v>0</v>
      </c>
      <c r="G1009">
        <v>2</v>
      </c>
      <c r="H1009">
        <v>1</v>
      </c>
    </row>
    <row r="1010" spans="1:8" x14ac:dyDescent="0.3">
      <c r="A1010">
        <v>3</v>
      </c>
      <c r="B1010">
        <v>1</v>
      </c>
      <c r="C1010">
        <v>1</v>
      </c>
      <c r="D1010">
        <v>1</v>
      </c>
      <c r="E1010" t="s">
        <v>14</v>
      </c>
      <c r="F1010">
        <v>1</v>
      </c>
      <c r="G1010">
        <v>0</v>
      </c>
      <c r="H1010">
        <v>2</v>
      </c>
    </row>
    <row r="1011" spans="1:8" x14ac:dyDescent="0.3">
      <c r="A1011">
        <v>3</v>
      </c>
      <c r="B1011">
        <v>0</v>
      </c>
      <c r="C1011">
        <v>2</v>
      </c>
      <c r="D1011">
        <v>1</v>
      </c>
      <c r="E1011" t="s">
        <v>14</v>
      </c>
      <c r="F1011">
        <v>2</v>
      </c>
      <c r="G1011">
        <v>1</v>
      </c>
      <c r="H1011">
        <v>0</v>
      </c>
    </row>
    <row r="1012" spans="1:8" x14ac:dyDescent="0.3">
      <c r="A1012">
        <v>3</v>
      </c>
      <c r="B1012">
        <v>1</v>
      </c>
      <c r="C1012">
        <v>1</v>
      </c>
      <c r="D1012">
        <v>1</v>
      </c>
      <c r="E1012" t="s">
        <v>14</v>
      </c>
      <c r="F1012">
        <v>1</v>
      </c>
      <c r="G1012">
        <v>1</v>
      </c>
      <c r="H1012">
        <v>1</v>
      </c>
    </row>
    <row r="1013" spans="1:8" x14ac:dyDescent="0.3">
      <c r="A1013">
        <v>3</v>
      </c>
      <c r="B1013">
        <v>1</v>
      </c>
      <c r="C1013">
        <v>1</v>
      </c>
      <c r="D1013">
        <v>1</v>
      </c>
      <c r="E1013" t="s">
        <v>14</v>
      </c>
      <c r="F1013">
        <v>2</v>
      </c>
      <c r="G1013">
        <v>1</v>
      </c>
      <c r="H1013">
        <v>0</v>
      </c>
    </row>
    <row r="1014" spans="1:8" x14ac:dyDescent="0.3">
      <c r="A1014">
        <v>3</v>
      </c>
      <c r="B1014">
        <v>2</v>
      </c>
      <c r="C1014">
        <v>1</v>
      </c>
      <c r="D1014">
        <v>0</v>
      </c>
      <c r="E1014" t="s">
        <v>14</v>
      </c>
      <c r="F1014">
        <v>2</v>
      </c>
      <c r="G1014">
        <v>1</v>
      </c>
      <c r="H1014">
        <v>0</v>
      </c>
    </row>
    <row r="1015" spans="1:8" x14ac:dyDescent="0.3">
      <c r="A1015">
        <v>3</v>
      </c>
      <c r="B1015">
        <v>0</v>
      </c>
      <c r="C1015">
        <v>2</v>
      </c>
      <c r="D1015">
        <v>1</v>
      </c>
      <c r="E1015" t="s">
        <v>14</v>
      </c>
      <c r="F1015">
        <v>0</v>
      </c>
      <c r="G1015">
        <v>2</v>
      </c>
      <c r="H1015">
        <v>1</v>
      </c>
    </row>
    <row r="1016" spans="1:8" x14ac:dyDescent="0.3">
      <c r="A1016">
        <v>3</v>
      </c>
      <c r="B1016">
        <v>1</v>
      </c>
      <c r="C1016">
        <v>1</v>
      </c>
      <c r="D1016">
        <v>1</v>
      </c>
      <c r="E1016" t="s">
        <v>14</v>
      </c>
      <c r="F1016">
        <v>1</v>
      </c>
      <c r="G1016">
        <v>1</v>
      </c>
      <c r="H1016">
        <v>1</v>
      </c>
    </row>
    <row r="1017" spans="1:8" x14ac:dyDescent="0.3">
      <c r="A1017">
        <v>3</v>
      </c>
      <c r="B1017">
        <v>1</v>
      </c>
      <c r="C1017">
        <v>1</v>
      </c>
      <c r="D1017">
        <v>1</v>
      </c>
      <c r="E1017" t="s">
        <v>14</v>
      </c>
      <c r="F1017">
        <v>1</v>
      </c>
      <c r="G1017">
        <v>0</v>
      </c>
      <c r="H1017">
        <v>2</v>
      </c>
    </row>
    <row r="1018" spans="1:8" x14ac:dyDescent="0.3">
      <c r="A1018">
        <v>3</v>
      </c>
      <c r="B1018">
        <v>1</v>
      </c>
      <c r="C1018">
        <v>1</v>
      </c>
      <c r="D1018">
        <v>1</v>
      </c>
      <c r="E1018" t="s">
        <v>14</v>
      </c>
      <c r="F1018">
        <v>0</v>
      </c>
      <c r="G1018">
        <v>2</v>
      </c>
      <c r="H1018">
        <v>1</v>
      </c>
    </row>
    <row r="1019" spans="1:8" x14ac:dyDescent="0.3">
      <c r="A1019">
        <v>3</v>
      </c>
      <c r="B1019">
        <v>1</v>
      </c>
      <c r="C1019">
        <v>1</v>
      </c>
      <c r="D1019">
        <v>1</v>
      </c>
      <c r="E1019" t="s">
        <v>14</v>
      </c>
      <c r="F1019">
        <v>1</v>
      </c>
      <c r="G1019">
        <v>1</v>
      </c>
      <c r="H1019">
        <v>1</v>
      </c>
    </row>
    <row r="1020" spans="1:8" x14ac:dyDescent="0.3">
      <c r="A1020">
        <v>3</v>
      </c>
      <c r="B1020">
        <v>1</v>
      </c>
      <c r="C1020">
        <v>1</v>
      </c>
      <c r="D1020">
        <v>1</v>
      </c>
      <c r="E1020" t="s">
        <v>14</v>
      </c>
      <c r="F1020">
        <v>1</v>
      </c>
      <c r="G1020">
        <v>0</v>
      </c>
      <c r="H1020">
        <v>2</v>
      </c>
    </row>
    <row r="1021" spans="1:8" x14ac:dyDescent="0.3">
      <c r="A1021">
        <v>3</v>
      </c>
      <c r="B1021">
        <v>1</v>
      </c>
      <c r="C1021">
        <v>1</v>
      </c>
      <c r="D1021">
        <v>1</v>
      </c>
      <c r="E1021" t="s">
        <v>14</v>
      </c>
      <c r="F1021">
        <v>0</v>
      </c>
      <c r="G1021">
        <v>2</v>
      </c>
      <c r="H1021">
        <v>1</v>
      </c>
    </row>
    <row r="1022" spans="1:8" x14ac:dyDescent="0.3">
      <c r="A1022">
        <v>3</v>
      </c>
      <c r="B1022">
        <v>1</v>
      </c>
      <c r="C1022">
        <v>1</v>
      </c>
      <c r="D1022">
        <v>1</v>
      </c>
      <c r="E1022" t="s">
        <v>14</v>
      </c>
      <c r="F1022">
        <v>0</v>
      </c>
      <c r="G1022">
        <v>2</v>
      </c>
      <c r="H1022">
        <v>1</v>
      </c>
    </row>
    <row r="1023" spans="1:8" x14ac:dyDescent="0.3">
      <c r="A1023">
        <v>3</v>
      </c>
      <c r="B1023">
        <v>1</v>
      </c>
      <c r="C1023">
        <v>1</v>
      </c>
      <c r="D1023">
        <v>1</v>
      </c>
      <c r="E1023" t="s">
        <v>14</v>
      </c>
      <c r="F1023">
        <v>1</v>
      </c>
      <c r="G1023">
        <v>1</v>
      </c>
      <c r="H1023">
        <v>1</v>
      </c>
    </row>
    <row r="1024" spans="1:8" x14ac:dyDescent="0.3">
      <c r="A1024">
        <v>3</v>
      </c>
      <c r="B1024">
        <v>1</v>
      </c>
      <c r="C1024">
        <v>1</v>
      </c>
      <c r="D1024">
        <v>1</v>
      </c>
      <c r="E1024" t="s">
        <v>14</v>
      </c>
      <c r="F1024">
        <v>2</v>
      </c>
      <c r="G1024">
        <v>1</v>
      </c>
      <c r="H1024">
        <v>0</v>
      </c>
    </row>
    <row r="1025" spans="1:8" x14ac:dyDescent="0.3">
      <c r="A1025">
        <v>3</v>
      </c>
      <c r="B1025">
        <v>1</v>
      </c>
      <c r="C1025">
        <v>1</v>
      </c>
      <c r="D1025">
        <v>1</v>
      </c>
      <c r="E1025" t="s">
        <v>14</v>
      </c>
      <c r="F1025">
        <v>0</v>
      </c>
      <c r="G1025">
        <v>2</v>
      </c>
      <c r="H1025">
        <v>1</v>
      </c>
    </row>
    <row r="1026" spans="1:8" x14ac:dyDescent="0.3">
      <c r="A1026">
        <v>3</v>
      </c>
      <c r="B1026">
        <v>2</v>
      </c>
      <c r="C1026">
        <v>1</v>
      </c>
      <c r="D1026">
        <v>0</v>
      </c>
      <c r="E1026" t="s">
        <v>14</v>
      </c>
      <c r="F1026">
        <v>1</v>
      </c>
      <c r="G1026">
        <v>0</v>
      </c>
      <c r="H1026">
        <v>2</v>
      </c>
    </row>
    <row r="1027" spans="1:8" x14ac:dyDescent="0.3">
      <c r="A1027">
        <v>3</v>
      </c>
      <c r="B1027">
        <v>1</v>
      </c>
      <c r="C1027">
        <v>1</v>
      </c>
      <c r="D1027">
        <v>1</v>
      </c>
      <c r="E1027" t="s">
        <v>14</v>
      </c>
      <c r="F1027">
        <v>1</v>
      </c>
      <c r="G1027">
        <v>1</v>
      </c>
      <c r="H1027">
        <v>1</v>
      </c>
    </row>
    <row r="1028" spans="1:8" x14ac:dyDescent="0.3">
      <c r="A1028">
        <v>4</v>
      </c>
      <c r="B1028">
        <v>2</v>
      </c>
      <c r="C1028">
        <v>1</v>
      </c>
      <c r="D1028">
        <v>1</v>
      </c>
      <c r="E1028" t="s">
        <v>14</v>
      </c>
      <c r="F1028">
        <v>2</v>
      </c>
      <c r="G1028">
        <v>1</v>
      </c>
      <c r="H1028">
        <v>1</v>
      </c>
    </row>
    <row r="1029" spans="1:8" x14ac:dyDescent="0.3">
      <c r="A1029">
        <v>4</v>
      </c>
      <c r="B1029">
        <v>1</v>
      </c>
      <c r="C1029">
        <v>1</v>
      </c>
      <c r="D1029">
        <v>2</v>
      </c>
      <c r="E1029" t="s">
        <v>14</v>
      </c>
      <c r="F1029">
        <v>1</v>
      </c>
      <c r="G1029">
        <v>1</v>
      </c>
      <c r="H1029">
        <v>2</v>
      </c>
    </row>
    <row r="1030" spans="1:8" x14ac:dyDescent="0.3">
      <c r="A1030">
        <v>4</v>
      </c>
      <c r="B1030">
        <v>2</v>
      </c>
      <c r="C1030">
        <v>1</v>
      </c>
      <c r="D1030">
        <v>1</v>
      </c>
      <c r="E1030" t="s">
        <v>14</v>
      </c>
      <c r="F1030">
        <v>2</v>
      </c>
      <c r="G1030">
        <v>2</v>
      </c>
      <c r="H1030">
        <v>0</v>
      </c>
    </row>
    <row r="1031" spans="1:8" x14ac:dyDescent="0.3">
      <c r="A1031">
        <v>4</v>
      </c>
      <c r="B1031">
        <v>1</v>
      </c>
      <c r="C1031">
        <v>1</v>
      </c>
      <c r="D1031">
        <v>2</v>
      </c>
      <c r="E1031" t="s">
        <v>14</v>
      </c>
      <c r="F1031">
        <v>1</v>
      </c>
      <c r="G1031">
        <v>1</v>
      </c>
      <c r="H1031">
        <v>2</v>
      </c>
    </row>
    <row r="1032" spans="1:8" x14ac:dyDescent="0.3">
      <c r="A1032">
        <v>4</v>
      </c>
      <c r="B1032">
        <v>1</v>
      </c>
      <c r="C1032">
        <v>1</v>
      </c>
      <c r="D1032">
        <v>2</v>
      </c>
      <c r="E1032" t="s">
        <v>14</v>
      </c>
      <c r="F1032">
        <v>2</v>
      </c>
      <c r="G1032">
        <v>0</v>
      </c>
      <c r="H1032">
        <v>2</v>
      </c>
    </row>
    <row r="1033" spans="1:8" x14ac:dyDescent="0.3">
      <c r="A1033">
        <v>4</v>
      </c>
      <c r="B1033">
        <v>1</v>
      </c>
      <c r="C1033">
        <v>1</v>
      </c>
      <c r="D1033">
        <v>2</v>
      </c>
      <c r="E1033" t="s">
        <v>14</v>
      </c>
      <c r="F1033">
        <v>1</v>
      </c>
      <c r="G1033">
        <v>1</v>
      </c>
      <c r="H1033">
        <v>2</v>
      </c>
    </row>
    <row r="1034" spans="1:8" x14ac:dyDescent="0.3">
      <c r="A1034">
        <v>5</v>
      </c>
      <c r="B1034">
        <v>1</v>
      </c>
      <c r="C1034">
        <v>2</v>
      </c>
      <c r="D1034">
        <v>2</v>
      </c>
      <c r="E1034" t="s">
        <v>14</v>
      </c>
      <c r="F1034">
        <v>1</v>
      </c>
      <c r="G1034">
        <v>2</v>
      </c>
      <c r="H1034">
        <v>2</v>
      </c>
    </row>
    <row r="1035" spans="1:8" x14ac:dyDescent="0.3">
      <c r="A1035">
        <v>5</v>
      </c>
      <c r="B1035">
        <v>2</v>
      </c>
      <c r="C1035">
        <v>2</v>
      </c>
      <c r="D1035">
        <v>1</v>
      </c>
      <c r="E1035" t="s">
        <v>14</v>
      </c>
      <c r="F1035">
        <v>2</v>
      </c>
      <c r="G1035">
        <v>2</v>
      </c>
      <c r="H1035">
        <v>1</v>
      </c>
    </row>
    <row r="1036" spans="1:8" x14ac:dyDescent="0.3">
      <c r="A1036">
        <v>5</v>
      </c>
      <c r="B1036">
        <v>1</v>
      </c>
      <c r="C1036">
        <v>2</v>
      </c>
      <c r="D1036">
        <v>2</v>
      </c>
      <c r="E1036" t="s">
        <v>14</v>
      </c>
      <c r="F1036">
        <v>3</v>
      </c>
      <c r="G1036">
        <v>0</v>
      </c>
      <c r="H1036">
        <v>2</v>
      </c>
    </row>
    <row r="1037" spans="1:8" x14ac:dyDescent="0.3">
      <c r="A1037">
        <v>5</v>
      </c>
      <c r="B1037">
        <v>1</v>
      </c>
      <c r="C1037">
        <v>2</v>
      </c>
      <c r="D1037">
        <v>2</v>
      </c>
      <c r="E1037" t="s">
        <v>14</v>
      </c>
      <c r="F1037">
        <v>0</v>
      </c>
      <c r="G1037">
        <v>2</v>
      </c>
      <c r="H1037">
        <v>3</v>
      </c>
    </row>
    <row r="1038" spans="1:8" x14ac:dyDescent="0.3">
      <c r="A1038">
        <v>5</v>
      </c>
      <c r="B1038">
        <v>2</v>
      </c>
      <c r="C1038">
        <v>1</v>
      </c>
      <c r="D1038">
        <v>2</v>
      </c>
      <c r="E1038" t="s">
        <v>14</v>
      </c>
      <c r="F1038">
        <v>3</v>
      </c>
      <c r="G1038">
        <v>0</v>
      </c>
      <c r="H1038">
        <v>2</v>
      </c>
    </row>
    <row r="1039" spans="1:8" x14ac:dyDescent="0.3">
      <c r="A1039">
        <v>5</v>
      </c>
      <c r="B1039">
        <v>2</v>
      </c>
      <c r="C1039">
        <v>1</v>
      </c>
      <c r="D1039">
        <v>2</v>
      </c>
      <c r="E1039" t="s">
        <v>14</v>
      </c>
      <c r="F1039">
        <v>2</v>
      </c>
      <c r="G1039">
        <v>3</v>
      </c>
      <c r="H1039">
        <v>0</v>
      </c>
    </row>
    <row r="1040" spans="1:8" x14ac:dyDescent="0.3">
      <c r="A1040">
        <v>6</v>
      </c>
      <c r="B1040">
        <v>1</v>
      </c>
      <c r="C1040">
        <v>2</v>
      </c>
      <c r="D1040">
        <v>3</v>
      </c>
      <c r="E1040" t="s">
        <v>14</v>
      </c>
      <c r="F1040">
        <v>1</v>
      </c>
      <c r="G1040">
        <v>2</v>
      </c>
      <c r="H1040">
        <v>3</v>
      </c>
    </row>
    <row r="1041" spans="1:8" x14ac:dyDescent="0.3">
      <c r="A1041">
        <v>6</v>
      </c>
      <c r="B1041">
        <v>1</v>
      </c>
      <c r="C1041">
        <v>2</v>
      </c>
      <c r="D1041">
        <v>3</v>
      </c>
      <c r="E1041" t="s">
        <v>14</v>
      </c>
      <c r="F1041">
        <v>1</v>
      </c>
      <c r="G1041">
        <v>2</v>
      </c>
      <c r="H1041">
        <v>3</v>
      </c>
    </row>
    <row r="1042" spans="1:8" x14ac:dyDescent="0.3">
      <c r="A1042">
        <v>6</v>
      </c>
      <c r="B1042">
        <v>2</v>
      </c>
      <c r="C1042">
        <v>3</v>
      </c>
      <c r="D1042">
        <v>1</v>
      </c>
      <c r="E1042" t="s">
        <v>14</v>
      </c>
      <c r="F1042">
        <v>2</v>
      </c>
      <c r="G1042">
        <v>3</v>
      </c>
      <c r="H1042">
        <v>1</v>
      </c>
    </row>
    <row r="1043" spans="1:8" x14ac:dyDescent="0.3">
      <c r="A1043">
        <v>6</v>
      </c>
      <c r="B1043">
        <v>3</v>
      </c>
      <c r="C1043">
        <v>1</v>
      </c>
      <c r="D1043">
        <v>2</v>
      </c>
      <c r="E1043" t="s">
        <v>14</v>
      </c>
      <c r="F1043">
        <v>3</v>
      </c>
      <c r="G1043">
        <v>1</v>
      </c>
      <c r="H1043">
        <v>2</v>
      </c>
    </row>
    <row r="1044" spans="1:8" x14ac:dyDescent="0.3">
      <c r="A1044">
        <v>7</v>
      </c>
      <c r="B1044">
        <v>3</v>
      </c>
      <c r="C1044">
        <v>2</v>
      </c>
      <c r="D1044">
        <v>2</v>
      </c>
      <c r="E1044" t="s">
        <v>14</v>
      </c>
      <c r="F1044">
        <v>3</v>
      </c>
      <c r="G1044">
        <v>2</v>
      </c>
      <c r="H1044">
        <v>2</v>
      </c>
    </row>
    <row r="1045" spans="1:8" x14ac:dyDescent="0.3">
      <c r="A1045">
        <v>7</v>
      </c>
      <c r="B1045">
        <v>3</v>
      </c>
      <c r="C1045">
        <v>2</v>
      </c>
      <c r="D1045">
        <v>2</v>
      </c>
      <c r="E1045" t="s">
        <v>14</v>
      </c>
      <c r="F1045">
        <v>3</v>
      </c>
      <c r="G1045">
        <v>2</v>
      </c>
      <c r="H1045">
        <v>2</v>
      </c>
    </row>
    <row r="1046" spans="1:8" x14ac:dyDescent="0.3">
      <c r="A1046">
        <v>7</v>
      </c>
      <c r="B1046">
        <v>2</v>
      </c>
      <c r="C1046">
        <v>2</v>
      </c>
      <c r="D1046">
        <v>3</v>
      </c>
      <c r="E1046" t="s">
        <v>14</v>
      </c>
      <c r="F1046">
        <v>2</v>
      </c>
      <c r="G1046">
        <v>2</v>
      </c>
      <c r="H1046">
        <v>3</v>
      </c>
    </row>
    <row r="1047" spans="1:8" x14ac:dyDescent="0.3">
      <c r="A1047">
        <v>7</v>
      </c>
      <c r="B1047">
        <v>2</v>
      </c>
      <c r="C1047">
        <v>3</v>
      </c>
      <c r="D1047">
        <v>2</v>
      </c>
      <c r="E1047" t="s">
        <v>14</v>
      </c>
      <c r="F1047">
        <v>2</v>
      </c>
      <c r="G1047">
        <v>3</v>
      </c>
      <c r="H1047">
        <v>2</v>
      </c>
    </row>
    <row r="1048" spans="1:8" x14ac:dyDescent="0.3">
      <c r="A1048">
        <v>8</v>
      </c>
      <c r="B1048">
        <v>2</v>
      </c>
      <c r="C1048">
        <v>3</v>
      </c>
      <c r="D1048">
        <v>3</v>
      </c>
      <c r="E1048" t="s">
        <v>14</v>
      </c>
      <c r="F1048">
        <v>2</v>
      </c>
      <c r="G1048">
        <v>3</v>
      </c>
      <c r="H1048">
        <v>3</v>
      </c>
    </row>
    <row r="1049" spans="1:8" x14ac:dyDescent="0.3">
      <c r="A1049">
        <v>8</v>
      </c>
      <c r="B1049">
        <v>2</v>
      </c>
      <c r="C1049">
        <v>3</v>
      </c>
      <c r="D1049">
        <v>3</v>
      </c>
      <c r="E1049" t="s">
        <v>14</v>
      </c>
      <c r="F1049">
        <v>2</v>
      </c>
      <c r="G1049">
        <v>3</v>
      </c>
      <c r="H1049">
        <v>3</v>
      </c>
    </row>
    <row r="1050" spans="1:8" x14ac:dyDescent="0.3">
      <c r="A1050">
        <v>8</v>
      </c>
      <c r="B1050">
        <v>2</v>
      </c>
      <c r="C1050">
        <v>3</v>
      </c>
      <c r="D1050">
        <v>3</v>
      </c>
      <c r="E1050" t="s">
        <v>14</v>
      </c>
      <c r="F1050">
        <v>2</v>
      </c>
      <c r="G1050">
        <v>3</v>
      </c>
      <c r="H1050">
        <v>3</v>
      </c>
    </row>
    <row r="1051" spans="1:8" x14ac:dyDescent="0.3">
      <c r="A1051">
        <v>2</v>
      </c>
      <c r="B1051">
        <v>1</v>
      </c>
      <c r="C1051">
        <v>0</v>
      </c>
      <c r="D1051">
        <v>1</v>
      </c>
      <c r="E1051" t="s">
        <v>14</v>
      </c>
      <c r="F1051">
        <v>0</v>
      </c>
      <c r="G1051">
        <v>0</v>
      </c>
      <c r="H1051">
        <v>2</v>
      </c>
    </row>
    <row r="1052" spans="1:8" x14ac:dyDescent="0.3">
      <c r="A1052">
        <v>2</v>
      </c>
      <c r="B1052">
        <v>1</v>
      </c>
      <c r="C1052">
        <v>1</v>
      </c>
      <c r="D1052">
        <v>0</v>
      </c>
      <c r="E1052" t="s">
        <v>14</v>
      </c>
      <c r="F1052">
        <v>1</v>
      </c>
      <c r="G1052">
        <v>1</v>
      </c>
      <c r="H1052">
        <v>0</v>
      </c>
    </row>
    <row r="1053" spans="1:8" x14ac:dyDescent="0.3">
      <c r="A1053">
        <v>2</v>
      </c>
      <c r="B1053">
        <v>0</v>
      </c>
      <c r="C1053">
        <v>1</v>
      </c>
      <c r="D1053">
        <v>1</v>
      </c>
      <c r="E1053" t="s">
        <v>14</v>
      </c>
      <c r="F1053">
        <v>0</v>
      </c>
      <c r="G1053">
        <v>1</v>
      </c>
      <c r="H1053">
        <v>1</v>
      </c>
    </row>
    <row r="1054" spans="1:8" x14ac:dyDescent="0.3">
      <c r="A1054">
        <v>2</v>
      </c>
      <c r="B1054">
        <v>1</v>
      </c>
      <c r="C1054">
        <v>0</v>
      </c>
      <c r="D1054">
        <v>1</v>
      </c>
      <c r="E1054" t="s">
        <v>14</v>
      </c>
      <c r="F1054">
        <v>0</v>
      </c>
      <c r="G1054">
        <v>2</v>
      </c>
      <c r="H1054">
        <v>0</v>
      </c>
    </row>
    <row r="1055" spans="1:8" x14ac:dyDescent="0.3">
      <c r="A1055">
        <v>2</v>
      </c>
      <c r="B1055">
        <v>1</v>
      </c>
      <c r="C1055">
        <v>0</v>
      </c>
      <c r="D1055">
        <v>1</v>
      </c>
      <c r="E1055" t="s">
        <v>14</v>
      </c>
      <c r="F1055">
        <v>1</v>
      </c>
      <c r="G1055">
        <v>0</v>
      </c>
      <c r="H1055">
        <v>1</v>
      </c>
    </row>
    <row r="1056" spans="1:8" x14ac:dyDescent="0.3">
      <c r="A1056">
        <v>2</v>
      </c>
      <c r="B1056">
        <v>1</v>
      </c>
      <c r="C1056">
        <v>0</v>
      </c>
      <c r="D1056">
        <v>1</v>
      </c>
      <c r="E1056" t="s">
        <v>14</v>
      </c>
      <c r="F1056">
        <v>1</v>
      </c>
      <c r="G1056">
        <v>0</v>
      </c>
      <c r="H1056">
        <v>1</v>
      </c>
    </row>
    <row r="1057" spans="1:8" x14ac:dyDescent="0.3">
      <c r="A1057">
        <v>3</v>
      </c>
      <c r="B1057">
        <v>1</v>
      </c>
      <c r="C1057">
        <v>1</v>
      </c>
      <c r="D1057">
        <v>1</v>
      </c>
      <c r="E1057" t="s">
        <v>14</v>
      </c>
      <c r="F1057">
        <v>1</v>
      </c>
      <c r="G1057">
        <v>1</v>
      </c>
      <c r="H1057">
        <v>1</v>
      </c>
    </row>
    <row r="1058" spans="1:8" x14ac:dyDescent="0.3">
      <c r="A1058">
        <v>3</v>
      </c>
      <c r="B1058">
        <v>1</v>
      </c>
      <c r="C1058">
        <v>1</v>
      </c>
      <c r="D1058">
        <v>1</v>
      </c>
      <c r="E1058" t="s">
        <v>14</v>
      </c>
      <c r="F1058">
        <v>1</v>
      </c>
      <c r="G1058">
        <v>1</v>
      </c>
      <c r="H1058">
        <v>1</v>
      </c>
    </row>
    <row r="1059" spans="1:8" x14ac:dyDescent="0.3">
      <c r="A1059">
        <v>3</v>
      </c>
      <c r="B1059">
        <v>1</v>
      </c>
      <c r="C1059">
        <v>1</v>
      </c>
      <c r="D1059">
        <v>1</v>
      </c>
      <c r="E1059" t="s">
        <v>14</v>
      </c>
      <c r="F1059">
        <v>2</v>
      </c>
      <c r="G1059">
        <v>1</v>
      </c>
      <c r="H1059">
        <v>0</v>
      </c>
    </row>
    <row r="1060" spans="1:8" x14ac:dyDescent="0.3">
      <c r="A1060">
        <v>3</v>
      </c>
      <c r="B1060">
        <v>1</v>
      </c>
      <c r="C1060">
        <v>1</v>
      </c>
      <c r="D1060">
        <v>1</v>
      </c>
      <c r="E1060" t="s">
        <v>14</v>
      </c>
      <c r="F1060">
        <v>1</v>
      </c>
      <c r="G1060">
        <v>0</v>
      </c>
      <c r="H1060">
        <v>2</v>
      </c>
    </row>
    <row r="1061" spans="1:8" x14ac:dyDescent="0.3">
      <c r="A1061">
        <v>3</v>
      </c>
      <c r="B1061">
        <v>1</v>
      </c>
      <c r="C1061">
        <v>1</v>
      </c>
      <c r="D1061">
        <v>1</v>
      </c>
      <c r="E1061" t="s">
        <v>14</v>
      </c>
      <c r="F1061">
        <v>1</v>
      </c>
      <c r="G1061">
        <v>1</v>
      </c>
      <c r="H1061">
        <v>1</v>
      </c>
    </row>
    <row r="1062" spans="1:8" x14ac:dyDescent="0.3">
      <c r="A1062">
        <v>3</v>
      </c>
      <c r="B1062">
        <v>1</v>
      </c>
      <c r="C1062">
        <v>1</v>
      </c>
      <c r="D1062">
        <v>1</v>
      </c>
      <c r="E1062" t="s">
        <v>14</v>
      </c>
      <c r="F1062">
        <v>2</v>
      </c>
      <c r="G1062">
        <v>1</v>
      </c>
      <c r="H1062">
        <v>0</v>
      </c>
    </row>
    <row r="1063" spans="1:8" x14ac:dyDescent="0.3">
      <c r="A1063">
        <v>3</v>
      </c>
      <c r="B1063">
        <v>0</v>
      </c>
      <c r="C1063">
        <v>2</v>
      </c>
      <c r="D1063">
        <v>1</v>
      </c>
      <c r="E1063" t="s">
        <v>14</v>
      </c>
      <c r="F1063">
        <v>2</v>
      </c>
      <c r="G1063">
        <v>1</v>
      </c>
      <c r="H1063">
        <v>0</v>
      </c>
    </row>
    <row r="1064" spans="1:8" x14ac:dyDescent="0.3">
      <c r="A1064">
        <v>3</v>
      </c>
      <c r="B1064">
        <v>1</v>
      </c>
      <c r="C1064">
        <v>1</v>
      </c>
      <c r="D1064">
        <v>1</v>
      </c>
      <c r="E1064" t="s">
        <v>14</v>
      </c>
      <c r="F1064">
        <v>0</v>
      </c>
      <c r="G1064">
        <v>2</v>
      </c>
      <c r="H1064">
        <v>1</v>
      </c>
    </row>
    <row r="1065" spans="1:8" x14ac:dyDescent="0.3">
      <c r="A1065">
        <v>3</v>
      </c>
      <c r="B1065">
        <v>1</v>
      </c>
      <c r="C1065">
        <v>1</v>
      </c>
      <c r="D1065">
        <v>1</v>
      </c>
      <c r="E1065" t="s">
        <v>14</v>
      </c>
      <c r="F1065">
        <v>1</v>
      </c>
      <c r="G1065">
        <v>0</v>
      </c>
      <c r="H1065">
        <v>2</v>
      </c>
    </row>
    <row r="1066" spans="1:8" x14ac:dyDescent="0.3">
      <c r="A1066">
        <v>3</v>
      </c>
      <c r="B1066">
        <v>2</v>
      </c>
      <c r="C1066">
        <v>1</v>
      </c>
      <c r="D1066">
        <v>0</v>
      </c>
      <c r="E1066" t="s">
        <v>14</v>
      </c>
      <c r="F1066">
        <v>2</v>
      </c>
      <c r="G1066">
        <v>1</v>
      </c>
      <c r="H1066">
        <v>0</v>
      </c>
    </row>
    <row r="1067" spans="1:8" x14ac:dyDescent="0.3">
      <c r="A1067">
        <v>3</v>
      </c>
      <c r="B1067">
        <v>1</v>
      </c>
      <c r="C1067">
        <v>1</v>
      </c>
      <c r="D1067">
        <v>1</v>
      </c>
      <c r="E1067" t="s">
        <v>14</v>
      </c>
      <c r="F1067">
        <v>1</v>
      </c>
      <c r="G1067">
        <v>1</v>
      </c>
      <c r="H1067">
        <v>1</v>
      </c>
    </row>
    <row r="1068" spans="1:8" x14ac:dyDescent="0.3">
      <c r="A1068">
        <v>3</v>
      </c>
      <c r="B1068">
        <v>2</v>
      </c>
      <c r="C1068">
        <v>1</v>
      </c>
      <c r="D1068">
        <v>0</v>
      </c>
      <c r="E1068" t="s">
        <v>14</v>
      </c>
      <c r="F1068">
        <v>2</v>
      </c>
      <c r="G1068">
        <v>1</v>
      </c>
      <c r="H1068">
        <v>0</v>
      </c>
    </row>
    <row r="1069" spans="1:8" x14ac:dyDescent="0.3">
      <c r="A1069">
        <v>3</v>
      </c>
      <c r="B1069">
        <v>0</v>
      </c>
      <c r="C1069">
        <v>2</v>
      </c>
      <c r="D1069">
        <v>1</v>
      </c>
      <c r="E1069" t="s">
        <v>14</v>
      </c>
      <c r="F1069">
        <v>2</v>
      </c>
      <c r="G1069">
        <v>1</v>
      </c>
      <c r="H1069">
        <v>0</v>
      </c>
    </row>
    <row r="1070" spans="1:8" x14ac:dyDescent="0.3">
      <c r="A1070">
        <v>3</v>
      </c>
      <c r="B1070">
        <v>1</v>
      </c>
      <c r="C1070">
        <v>1</v>
      </c>
      <c r="D1070">
        <v>1</v>
      </c>
      <c r="E1070" t="s">
        <v>14</v>
      </c>
      <c r="F1070">
        <v>1</v>
      </c>
      <c r="G1070">
        <v>1</v>
      </c>
      <c r="H1070">
        <v>1</v>
      </c>
    </row>
    <row r="1071" spans="1:8" x14ac:dyDescent="0.3">
      <c r="A1071">
        <v>3</v>
      </c>
      <c r="B1071">
        <v>1</v>
      </c>
      <c r="C1071">
        <v>1</v>
      </c>
      <c r="D1071">
        <v>1</v>
      </c>
      <c r="E1071" t="s">
        <v>14</v>
      </c>
      <c r="F1071">
        <v>1</v>
      </c>
      <c r="G1071">
        <v>0</v>
      </c>
      <c r="H1071">
        <v>2</v>
      </c>
    </row>
    <row r="1072" spans="1:8" x14ac:dyDescent="0.3">
      <c r="A1072">
        <v>3</v>
      </c>
      <c r="B1072">
        <v>1</v>
      </c>
      <c r="C1072">
        <v>1</v>
      </c>
      <c r="D1072">
        <v>1</v>
      </c>
      <c r="E1072" t="s">
        <v>14</v>
      </c>
      <c r="F1072">
        <v>0</v>
      </c>
      <c r="G1072">
        <v>2</v>
      </c>
      <c r="H1072">
        <v>1</v>
      </c>
    </row>
    <row r="1073" spans="1:8" x14ac:dyDescent="0.3">
      <c r="A1073">
        <v>3</v>
      </c>
      <c r="B1073">
        <v>1</v>
      </c>
      <c r="C1073">
        <v>1</v>
      </c>
      <c r="D1073">
        <v>1</v>
      </c>
      <c r="E1073" t="s">
        <v>14</v>
      </c>
      <c r="F1073">
        <v>1</v>
      </c>
      <c r="G1073">
        <v>1</v>
      </c>
      <c r="H1073">
        <v>1</v>
      </c>
    </row>
    <row r="1074" spans="1:8" x14ac:dyDescent="0.3">
      <c r="A1074">
        <v>3</v>
      </c>
      <c r="B1074">
        <v>1</v>
      </c>
      <c r="C1074">
        <v>1</v>
      </c>
      <c r="D1074">
        <v>1</v>
      </c>
      <c r="E1074" t="s">
        <v>14</v>
      </c>
      <c r="F1074">
        <v>1</v>
      </c>
      <c r="G1074">
        <v>1</v>
      </c>
      <c r="H1074">
        <v>1</v>
      </c>
    </row>
    <row r="1075" spans="1:8" x14ac:dyDescent="0.3">
      <c r="A1075">
        <v>3</v>
      </c>
      <c r="B1075">
        <v>1</v>
      </c>
      <c r="C1075">
        <v>1</v>
      </c>
      <c r="D1075">
        <v>1</v>
      </c>
      <c r="E1075" t="s">
        <v>14</v>
      </c>
      <c r="F1075">
        <v>1</v>
      </c>
      <c r="G1075">
        <v>1</v>
      </c>
      <c r="H1075">
        <v>1</v>
      </c>
    </row>
    <row r="1076" spans="1:8" x14ac:dyDescent="0.3">
      <c r="A1076">
        <v>3</v>
      </c>
      <c r="B1076">
        <v>1</v>
      </c>
      <c r="C1076">
        <v>1</v>
      </c>
      <c r="D1076">
        <v>1</v>
      </c>
      <c r="E1076" t="s">
        <v>14</v>
      </c>
      <c r="F1076">
        <v>2</v>
      </c>
      <c r="G1076">
        <v>1</v>
      </c>
      <c r="H1076">
        <v>0</v>
      </c>
    </row>
    <row r="1077" spans="1:8" x14ac:dyDescent="0.3">
      <c r="A1077">
        <v>3</v>
      </c>
      <c r="B1077">
        <v>1</v>
      </c>
      <c r="C1077">
        <v>1</v>
      </c>
      <c r="D1077">
        <v>1</v>
      </c>
      <c r="E1077" t="s">
        <v>14</v>
      </c>
      <c r="F1077">
        <v>1</v>
      </c>
      <c r="G1077">
        <v>1</v>
      </c>
      <c r="H1077">
        <v>1</v>
      </c>
    </row>
    <row r="1078" spans="1:8" x14ac:dyDescent="0.3">
      <c r="A1078">
        <v>3</v>
      </c>
      <c r="B1078">
        <v>2</v>
      </c>
      <c r="C1078">
        <v>1</v>
      </c>
      <c r="D1078">
        <v>0</v>
      </c>
      <c r="E1078" t="s">
        <v>14</v>
      </c>
      <c r="F1078">
        <v>1</v>
      </c>
      <c r="G1078">
        <v>0</v>
      </c>
      <c r="H1078">
        <v>2</v>
      </c>
    </row>
    <row r="1079" spans="1:8" x14ac:dyDescent="0.3">
      <c r="A1079">
        <v>3</v>
      </c>
      <c r="B1079">
        <v>1</v>
      </c>
      <c r="C1079">
        <v>1</v>
      </c>
      <c r="D1079">
        <v>1</v>
      </c>
      <c r="E1079" t="s">
        <v>14</v>
      </c>
      <c r="F1079">
        <v>1</v>
      </c>
      <c r="G1079">
        <v>0</v>
      </c>
      <c r="H1079">
        <v>2</v>
      </c>
    </row>
    <row r="1080" spans="1:8" x14ac:dyDescent="0.3">
      <c r="A1080">
        <v>3</v>
      </c>
      <c r="B1080">
        <v>0</v>
      </c>
      <c r="C1080">
        <v>2</v>
      </c>
      <c r="D1080">
        <v>1</v>
      </c>
      <c r="E1080" t="s">
        <v>14</v>
      </c>
      <c r="F1080">
        <v>2</v>
      </c>
      <c r="G1080">
        <v>1</v>
      </c>
      <c r="H1080">
        <v>0</v>
      </c>
    </row>
    <row r="1081" spans="1:8" x14ac:dyDescent="0.3">
      <c r="A1081">
        <v>3</v>
      </c>
      <c r="B1081">
        <v>0</v>
      </c>
      <c r="C1081">
        <v>2</v>
      </c>
      <c r="D1081">
        <v>1</v>
      </c>
      <c r="E1081" t="s">
        <v>14</v>
      </c>
      <c r="F1081">
        <v>1</v>
      </c>
      <c r="G1081">
        <v>0</v>
      </c>
      <c r="H1081">
        <v>2</v>
      </c>
    </row>
    <row r="1082" spans="1:8" x14ac:dyDescent="0.3">
      <c r="A1082">
        <v>3</v>
      </c>
      <c r="B1082">
        <v>1</v>
      </c>
      <c r="C1082">
        <v>1</v>
      </c>
      <c r="D1082">
        <v>1</v>
      </c>
      <c r="E1082" t="s">
        <v>14</v>
      </c>
      <c r="F1082">
        <v>1</v>
      </c>
      <c r="G1082">
        <v>1</v>
      </c>
      <c r="H1082">
        <v>1</v>
      </c>
    </row>
    <row r="1083" spans="1:8" x14ac:dyDescent="0.3">
      <c r="A1083">
        <v>3</v>
      </c>
      <c r="B1083">
        <v>1</v>
      </c>
      <c r="C1083">
        <v>1</v>
      </c>
      <c r="D1083">
        <v>1</v>
      </c>
      <c r="E1083" t="s">
        <v>14</v>
      </c>
      <c r="F1083">
        <v>1</v>
      </c>
      <c r="G1083">
        <v>1</v>
      </c>
      <c r="H1083">
        <v>1</v>
      </c>
    </row>
    <row r="1084" spans="1:8" x14ac:dyDescent="0.3">
      <c r="A1084">
        <v>3</v>
      </c>
      <c r="B1084">
        <v>1</v>
      </c>
      <c r="C1084">
        <v>1</v>
      </c>
      <c r="D1084">
        <v>1</v>
      </c>
      <c r="E1084" t="s">
        <v>14</v>
      </c>
      <c r="F1084">
        <v>0</v>
      </c>
      <c r="G1084">
        <v>2</v>
      </c>
      <c r="H1084">
        <v>1</v>
      </c>
    </row>
    <row r="1085" spans="1:8" x14ac:dyDescent="0.3">
      <c r="A1085">
        <v>3</v>
      </c>
      <c r="B1085">
        <v>1</v>
      </c>
      <c r="C1085">
        <v>1</v>
      </c>
      <c r="D1085">
        <v>1</v>
      </c>
      <c r="E1085" t="s">
        <v>14</v>
      </c>
      <c r="F1085">
        <v>1</v>
      </c>
      <c r="G1085">
        <v>1</v>
      </c>
      <c r="H1085">
        <v>1</v>
      </c>
    </row>
    <row r="1086" spans="1:8" x14ac:dyDescent="0.3">
      <c r="A1086">
        <v>3</v>
      </c>
      <c r="B1086">
        <v>1</v>
      </c>
      <c r="C1086">
        <v>1</v>
      </c>
      <c r="D1086">
        <v>1</v>
      </c>
      <c r="E1086" t="s">
        <v>14</v>
      </c>
      <c r="F1086">
        <v>2</v>
      </c>
      <c r="G1086">
        <v>1</v>
      </c>
      <c r="H1086">
        <v>0</v>
      </c>
    </row>
    <row r="1087" spans="1:8" x14ac:dyDescent="0.3">
      <c r="A1087">
        <v>3</v>
      </c>
      <c r="B1087">
        <v>1</v>
      </c>
      <c r="C1087">
        <v>0</v>
      </c>
      <c r="D1087">
        <v>2</v>
      </c>
      <c r="E1087" t="s">
        <v>14</v>
      </c>
      <c r="F1087">
        <v>1</v>
      </c>
      <c r="G1087">
        <v>0</v>
      </c>
      <c r="H1087">
        <v>2</v>
      </c>
    </row>
    <row r="1088" spans="1:8" x14ac:dyDescent="0.3">
      <c r="A1088">
        <v>3</v>
      </c>
      <c r="B1088">
        <v>0</v>
      </c>
      <c r="C1088">
        <v>2</v>
      </c>
      <c r="D1088">
        <v>1</v>
      </c>
      <c r="E1088" t="s">
        <v>14</v>
      </c>
      <c r="F1088">
        <v>0</v>
      </c>
      <c r="G1088">
        <v>2</v>
      </c>
      <c r="H1088">
        <v>1</v>
      </c>
    </row>
    <row r="1089" spans="1:8" x14ac:dyDescent="0.3">
      <c r="A1089">
        <v>3</v>
      </c>
      <c r="B1089">
        <v>1</v>
      </c>
      <c r="C1089">
        <v>1</v>
      </c>
      <c r="D1089">
        <v>1</v>
      </c>
      <c r="E1089" t="s">
        <v>14</v>
      </c>
      <c r="F1089">
        <v>1</v>
      </c>
      <c r="G1089">
        <v>1</v>
      </c>
      <c r="H1089">
        <v>1</v>
      </c>
    </row>
    <row r="1090" spans="1:8" x14ac:dyDescent="0.3">
      <c r="A1090">
        <v>3</v>
      </c>
      <c r="B1090">
        <v>0</v>
      </c>
      <c r="C1090">
        <v>2</v>
      </c>
      <c r="D1090">
        <v>1</v>
      </c>
      <c r="E1090" t="s">
        <v>14</v>
      </c>
      <c r="F1090">
        <v>2</v>
      </c>
      <c r="G1090">
        <v>1</v>
      </c>
      <c r="H1090">
        <v>0</v>
      </c>
    </row>
    <row r="1091" spans="1:8" x14ac:dyDescent="0.3">
      <c r="A1091">
        <v>3</v>
      </c>
      <c r="B1091">
        <v>1</v>
      </c>
      <c r="C1091">
        <v>1</v>
      </c>
      <c r="D1091">
        <v>1</v>
      </c>
      <c r="E1091" t="s">
        <v>14</v>
      </c>
      <c r="F1091">
        <v>2</v>
      </c>
      <c r="G1091">
        <v>1</v>
      </c>
      <c r="H1091">
        <v>0</v>
      </c>
    </row>
    <row r="1092" spans="1:8" x14ac:dyDescent="0.3">
      <c r="A1092">
        <v>3</v>
      </c>
      <c r="B1092">
        <v>1</v>
      </c>
      <c r="C1092">
        <v>1</v>
      </c>
      <c r="D1092">
        <v>1</v>
      </c>
      <c r="E1092" t="s">
        <v>14</v>
      </c>
      <c r="F1092">
        <v>1</v>
      </c>
      <c r="G1092">
        <v>1</v>
      </c>
      <c r="H1092">
        <v>1</v>
      </c>
    </row>
    <row r="1093" spans="1:8" x14ac:dyDescent="0.3">
      <c r="A1093">
        <v>3</v>
      </c>
      <c r="B1093">
        <v>1</v>
      </c>
      <c r="C1093">
        <v>1</v>
      </c>
      <c r="D1093">
        <v>1</v>
      </c>
      <c r="E1093" t="s">
        <v>14</v>
      </c>
      <c r="F1093">
        <v>0</v>
      </c>
      <c r="G1093">
        <v>2</v>
      </c>
      <c r="H1093">
        <v>1</v>
      </c>
    </row>
    <row r="1094" spans="1:8" x14ac:dyDescent="0.3">
      <c r="A1094">
        <v>3</v>
      </c>
      <c r="B1094">
        <v>1</v>
      </c>
      <c r="C1094">
        <v>1</v>
      </c>
      <c r="D1094">
        <v>1</v>
      </c>
      <c r="E1094" t="s">
        <v>14</v>
      </c>
      <c r="F1094">
        <v>1</v>
      </c>
      <c r="G1094">
        <v>1</v>
      </c>
      <c r="H1094">
        <v>1</v>
      </c>
    </row>
    <row r="1095" spans="1:8" x14ac:dyDescent="0.3">
      <c r="A1095">
        <v>3</v>
      </c>
      <c r="B1095">
        <v>1</v>
      </c>
      <c r="C1095">
        <v>1</v>
      </c>
      <c r="D1095">
        <v>1</v>
      </c>
      <c r="E1095" t="s">
        <v>14</v>
      </c>
      <c r="F1095">
        <v>0</v>
      </c>
      <c r="G1095">
        <v>2</v>
      </c>
      <c r="H1095">
        <v>1</v>
      </c>
    </row>
    <row r="1096" spans="1:8" x14ac:dyDescent="0.3">
      <c r="A1096">
        <v>3</v>
      </c>
      <c r="B1096">
        <v>0</v>
      </c>
      <c r="C1096">
        <v>2</v>
      </c>
      <c r="D1096">
        <v>1</v>
      </c>
      <c r="E1096" t="s">
        <v>14</v>
      </c>
      <c r="F1096">
        <v>0</v>
      </c>
      <c r="G1096">
        <v>2</v>
      </c>
      <c r="H1096">
        <v>1</v>
      </c>
    </row>
    <row r="1097" spans="1:8" x14ac:dyDescent="0.3">
      <c r="A1097">
        <v>4</v>
      </c>
      <c r="B1097">
        <v>1</v>
      </c>
      <c r="C1097">
        <v>2</v>
      </c>
      <c r="D1097">
        <v>1</v>
      </c>
      <c r="E1097" t="s">
        <v>14</v>
      </c>
      <c r="F1097">
        <v>0</v>
      </c>
      <c r="G1097">
        <v>2</v>
      </c>
      <c r="H1097">
        <v>2</v>
      </c>
    </row>
    <row r="1098" spans="1:8" x14ac:dyDescent="0.3">
      <c r="A1098">
        <v>4</v>
      </c>
      <c r="B1098">
        <v>2</v>
      </c>
      <c r="C1098">
        <v>1</v>
      </c>
      <c r="D1098">
        <v>1</v>
      </c>
      <c r="E1098" t="s">
        <v>14</v>
      </c>
      <c r="F1098">
        <v>2</v>
      </c>
      <c r="G1098">
        <v>1</v>
      </c>
      <c r="H1098">
        <v>1</v>
      </c>
    </row>
    <row r="1099" spans="1:8" x14ac:dyDescent="0.3">
      <c r="A1099">
        <v>4</v>
      </c>
      <c r="B1099">
        <v>2</v>
      </c>
      <c r="C1099">
        <v>1</v>
      </c>
      <c r="D1099">
        <v>1</v>
      </c>
      <c r="E1099" t="s">
        <v>14</v>
      </c>
      <c r="F1099">
        <v>2</v>
      </c>
      <c r="G1099">
        <v>2</v>
      </c>
      <c r="H1099">
        <v>0</v>
      </c>
    </row>
    <row r="1100" spans="1:8" x14ac:dyDescent="0.3">
      <c r="A1100">
        <v>4</v>
      </c>
      <c r="B1100">
        <v>2</v>
      </c>
      <c r="C1100">
        <v>1</v>
      </c>
      <c r="D1100">
        <v>1</v>
      </c>
      <c r="E1100" t="s">
        <v>14</v>
      </c>
      <c r="F1100">
        <v>0</v>
      </c>
      <c r="G1100">
        <v>2</v>
      </c>
      <c r="H1100">
        <v>2</v>
      </c>
    </row>
    <row r="1101" spans="1:8" x14ac:dyDescent="0.3">
      <c r="A1101">
        <v>4</v>
      </c>
      <c r="B1101">
        <v>1</v>
      </c>
      <c r="C1101">
        <v>1</v>
      </c>
      <c r="D1101">
        <v>2</v>
      </c>
      <c r="E1101" t="s">
        <v>14</v>
      </c>
      <c r="F1101">
        <v>1</v>
      </c>
      <c r="G1101">
        <v>1</v>
      </c>
      <c r="H1101">
        <v>2</v>
      </c>
    </row>
    <row r="1102" spans="1:8" x14ac:dyDescent="0.3">
      <c r="A1102">
        <v>4</v>
      </c>
      <c r="B1102">
        <v>1</v>
      </c>
      <c r="C1102">
        <v>1</v>
      </c>
      <c r="D1102">
        <v>2</v>
      </c>
      <c r="E1102" t="s">
        <v>14</v>
      </c>
      <c r="F1102">
        <v>1</v>
      </c>
      <c r="G1102">
        <v>1</v>
      </c>
      <c r="H1102">
        <v>2</v>
      </c>
    </row>
    <row r="1103" spans="1:8" x14ac:dyDescent="0.3">
      <c r="A1103">
        <v>4</v>
      </c>
      <c r="B1103">
        <v>2</v>
      </c>
      <c r="C1103">
        <v>1</v>
      </c>
      <c r="D1103">
        <v>1</v>
      </c>
      <c r="E1103" t="s">
        <v>14</v>
      </c>
      <c r="F1103">
        <v>0</v>
      </c>
      <c r="G1103">
        <v>2</v>
      </c>
      <c r="H1103">
        <v>2</v>
      </c>
    </row>
    <row r="1104" spans="1:8" x14ac:dyDescent="0.3">
      <c r="A1104">
        <v>4</v>
      </c>
      <c r="B1104">
        <v>1</v>
      </c>
      <c r="C1104">
        <v>2</v>
      </c>
      <c r="D1104">
        <v>1</v>
      </c>
      <c r="E1104" t="s">
        <v>14</v>
      </c>
      <c r="F1104">
        <v>1</v>
      </c>
      <c r="G1104">
        <v>2</v>
      </c>
      <c r="H1104">
        <v>1</v>
      </c>
    </row>
    <row r="1105" spans="1:8" x14ac:dyDescent="0.3">
      <c r="A1105">
        <v>4</v>
      </c>
      <c r="B1105">
        <v>2</v>
      </c>
      <c r="C1105">
        <v>1</v>
      </c>
      <c r="D1105">
        <v>1</v>
      </c>
      <c r="E1105" t="s">
        <v>14</v>
      </c>
      <c r="F1105">
        <v>2</v>
      </c>
      <c r="G1105">
        <v>1</v>
      </c>
      <c r="H1105">
        <v>1</v>
      </c>
    </row>
    <row r="1106" spans="1:8" x14ac:dyDescent="0.3">
      <c r="A1106">
        <v>4</v>
      </c>
      <c r="B1106">
        <v>1</v>
      </c>
      <c r="C1106">
        <v>1</v>
      </c>
      <c r="D1106">
        <v>2</v>
      </c>
      <c r="E1106" t="s">
        <v>14</v>
      </c>
      <c r="F1106">
        <v>1</v>
      </c>
      <c r="G1106">
        <v>1</v>
      </c>
      <c r="H1106">
        <v>2</v>
      </c>
    </row>
    <row r="1107" spans="1:8" x14ac:dyDescent="0.3">
      <c r="A1107">
        <v>4</v>
      </c>
      <c r="B1107">
        <v>1</v>
      </c>
      <c r="C1107">
        <v>1</v>
      </c>
      <c r="D1107">
        <v>2</v>
      </c>
      <c r="E1107" t="s">
        <v>14</v>
      </c>
      <c r="F1107">
        <v>0</v>
      </c>
      <c r="G1107">
        <v>2</v>
      </c>
      <c r="H1107">
        <v>2</v>
      </c>
    </row>
    <row r="1108" spans="1:8" x14ac:dyDescent="0.3">
      <c r="A1108">
        <v>4</v>
      </c>
      <c r="B1108">
        <v>1</v>
      </c>
      <c r="C1108">
        <v>2</v>
      </c>
      <c r="D1108">
        <v>1</v>
      </c>
      <c r="E1108" t="s">
        <v>14</v>
      </c>
      <c r="F1108">
        <v>2</v>
      </c>
      <c r="G1108">
        <v>0</v>
      </c>
      <c r="H1108">
        <v>2</v>
      </c>
    </row>
    <row r="1109" spans="1:8" x14ac:dyDescent="0.3">
      <c r="A1109">
        <v>5</v>
      </c>
      <c r="B1109">
        <v>2</v>
      </c>
      <c r="C1109">
        <v>2</v>
      </c>
      <c r="D1109">
        <v>1</v>
      </c>
      <c r="E1109" t="s">
        <v>14</v>
      </c>
      <c r="F1109">
        <v>2</v>
      </c>
      <c r="G1109">
        <v>2</v>
      </c>
      <c r="H1109">
        <v>1</v>
      </c>
    </row>
    <row r="1110" spans="1:8" x14ac:dyDescent="0.3">
      <c r="A1110">
        <v>5</v>
      </c>
      <c r="B1110">
        <v>2</v>
      </c>
      <c r="C1110">
        <v>2</v>
      </c>
      <c r="D1110">
        <v>1</v>
      </c>
      <c r="E1110" t="s">
        <v>14</v>
      </c>
      <c r="F1110">
        <v>0</v>
      </c>
      <c r="G1110">
        <v>2</v>
      </c>
      <c r="H1110">
        <v>3</v>
      </c>
    </row>
    <row r="1111" spans="1:8" x14ac:dyDescent="0.3">
      <c r="A1111">
        <v>5</v>
      </c>
      <c r="B1111">
        <v>1</v>
      </c>
      <c r="C1111">
        <v>2</v>
      </c>
      <c r="D1111">
        <v>2</v>
      </c>
      <c r="E1111" t="s">
        <v>14</v>
      </c>
      <c r="F1111">
        <v>1</v>
      </c>
      <c r="G1111">
        <v>2</v>
      </c>
      <c r="H1111">
        <v>2</v>
      </c>
    </row>
    <row r="1112" spans="1:8" x14ac:dyDescent="0.3">
      <c r="A1112">
        <v>5</v>
      </c>
      <c r="B1112">
        <v>2</v>
      </c>
      <c r="C1112">
        <v>2</v>
      </c>
      <c r="D1112">
        <v>1</v>
      </c>
      <c r="E1112" t="s">
        <v>14</v>
      </c>
      <c r="F1112">
        <v>2</v>
      </c>
      <c r="G1112">
        <v>2</v>
      </c>
      <c r="H1112">
        <v>1</v>
      </c>
    </row>
    <row r="1113" spans="1:8" x14ac:dyDescent="0.3">
      <c r="A1113">
        <v>5</v>
      </c>
      <c r="B1113">
        <v>2</v>
      </c>
      <c r="C1113">
        <v>2</v>
      </c>
      <c r="D1113">
        <v>1</v>
      </c>
      <c r="E1113" t="s">
        <v>14</v>
      </c>
      <c r="F1113">
        <v>2</v>
      </c>
      <c r="G1113">
        <v>2</v>
      </c>
      <c r="H1113">
        <v>1</v>
      </c>
    </row>
    <row r="1114" spans="1:8" x14ac:dyDescent="0.3">
      <c r="A1114">
        <v>5</v>
      </c>
      <c r="B1114">
        <v>2</v>
      </c>
      <c r="C1114">
        <v>2</v>
      </c>
      <c r="D1114">
        <v>1</v>
      </c>
      <c r="E1114" t="s">
        <v>14</v>
      </c>
      <c r="F1114">
        <v>0</v>
      </c>
      <c r="G1114">
        <v>2</v>
      </c>
      <c r="H1114">
        <v>3</v>
      </c>
    </row>
    <row r="1115" spans="1:8" x14ac:dyDescent="0.3">
      <c r="A1115">
        <v>5</v>
      </c>
      <c r="B1115">
        <v>1</v>
      </c>
      <c r="C1115">
        <v>2</v>
      </c>
      <c r="D1115">
        <v>2</v>
      </c>
      <c r="E1115" t="s">
        <v>14</v>
      </c>
      <c r="F1115">
        <v>0</v>
      </c>
      <c r="G1115">
        <v>2</v>
      </c>
      <c r="H1115">
        <v>3</v>
      </c>
    </row>
    <row r="1116" spans="1:8" x14ac:dyDescent="0.3">
      <c r="A1116">
        <v>6</v>
      </c>
      <c r="B1116">
        <v>2</v>
      </c>
      <c r="C1116">
        <v>2</v>
      </c>
      <c r="D1116">
        <v>2</v>
      </c>
      <c r="E1116" t="s">
        <v>14</v>
      </c>
      <c r="F1116">
        <v>2</v>
      </c>
      <c r="G1116">
        <v>2</v>
      </c>
      <c r="H1116">
        <v>2</v>
      </c>
    </row>
    <row r="1117" spans="1:8" x14ac:dyDescent="0.3">
      <c r="A1117">
        <v>7</v>
      </c>
      <c r="B1117">
        <v>2</v>
      </c>
      <c r="C1117">
        <v>2</v>
      </c>
      <c r="D1117">
        <v>3</v>
      </c>
      <c r="E1117" t="s">
        <v>14</v>
      </c>
      <c r="F1117">
        <v>2</v>
      </c>
      <c r="G1117">
        <v>2</v>
      </c>
      <c r="H1117">
        <v>3</v>
      </c>
    </row>
    <row r="1118" spans="1:8" x14ac:dyDescent="0.3">
      <c r="A1118">
        <v>8</v>
      </c>
      <c r="B1118">
        <v>2</v>
      </c>
      <c r="C1118">
        <v>3</v>
      </c>
      <c r="D1118">
        <v>3</v>
      </c>
      <c r="E1118" t="s">
        <v>14</v>
      </c>
      <c r="F1118">
        <v>2</v>
      </c>
      <c r="G1118">
        <v>3</v>
      </c>
      <c r="H1118">
        <v>3</v>
      </c>
    </row>
    <row r="1119" spans="1:8" x14ac:dyDescent="0.3">
      <c r="A1119">
        <v>8</v>
      </c>
      <c r="B1119">
        <v>2</v>
      </c>
      <c r="C1119">
        <v>3</v>
      </c>
      <c r="D1119">
        <v>3</v>
      </c>
      <c r="E1119" t="s">
        <v>14</v>
      </c>
      <c r="F1119">
        <v>2</v>
      </c>
      <c r="G1119">
        <v>3</v>
      </c>
      <c r="H1119">
        <v>3</v>
      </c>
    </row>
    <row r="1120" spans="1:8" x14ac:dyDescent="0.3">
      <c r="A1120">
        <v>8</v>
      </c>
      <c r="B1120">
        <v>3</v>
      </c>
      <c r="C1120">
        <v>3</v>
      </c>
      <c r="D1120">
        <v>2</v>
      </c>
      <c r="E1120" t="s">
        <v>14</v>
      </c>
      <c r="F1120">
        <v>3</v>
      </c>
      <c r="G1120">
        <v>3</v>
      </c>
      <c r="H1120">
        <v>2</v>
      </c>
    </row>
    <row r="1121" spans="1:8" x14ac:dyDescent="0.3">
      <c r="A1121">
        <v>2</v>
      </c>
      <c r="B1121">
        <v>0</v>
      </c>
      <c r="C1121">
        <v>1</v>
      </c>
      <c r="D1121">
        <v>1</v>
      </c>
      <c r="E1121" t="s">
        <v>14</v>
      </c>
      <c r="F1121">
        <v>0</v>
      </c>
      <c r="G1121">
        <v>0</v>
      </c>
      <c r="H1121">
        <v>2</v>
      </c>
    </row>
    <row r="1122" spans="1:8" x14ac:dyDescent="0.3">
      <c r="A1122">
        <v>2</v>
      </c>
      <c r="B1122">
        <v>0</v>
      </c>
      <c r="C1122">
        <v>1</v>
      </c>
      <c r="D1122">
        <v>1</v>
      </c>
      <c r="E1122" t="s">
        <v>14</v>
      </c>
      <c r="F1122">
        <v>0</v>
      </c>
      <c r="G1122">
        <v>1</v>
      </c>
      <c r="H1122">
        <v>1</v>
      </c>
    </row>
    <row r="1123" spans="1:8" x14ac:dyDescent="0.3">
      <c r="A1123">
        <v>2</v>
      </c>
      <c r="B1123">
        <v>0</v>
      </c>
      <c r="C1123">
        <v>1</v>
      </c>
      <c r="D1123">
        <v>1</v>
      </c>
      <c r="E1123" t="s">
        <v>14</v>
      </c>
      <c r="F1123">
        <v>2</v>
      </c>
      <c r="G1123">
        <v>0</v>
      </c>
      <c r="H1123">
        <v>0</v>
      </c>
    </row>
    <row r="1124" spans="1:8" x14ac:dyDescent="0.3">
      <c r="A1124">
        <v>2</v>
      </c>
      <c r="B1124">
        <v>1</v>
      </c>
      <c r="C1124">
        <v>1</v>
      </c>
      <c r="D1124">
        <v>0</v>
      </c>
      <c r="E1124" t="s">
        <v>14</v>
      </c>
      <c r="F1124">
        <v>1</v>
      </c>
      <c r="G1124">
        <v>1</v>
      </c>
      <c r="H1124">
        <v>0</v>
      </c>
    </row>
    <row r="1125" spans="1:8" x14ac:dyDescent="0.3">
      <c r="A1125">
        <v>2</v>
      </c>
      <c r="B1125">
        <v>0</v>
      </c>
      <c r="C1125">
        <v>1</v>
      </c>
      <c r="D1125">
        <v>1</v>
      </c>
      <c r="E1125" t="s">
        <v>14</v>
      </c>
      <c r="F1125">
        <v>0</v>
      </c>
      <c r="G1125">
        <v>2</v>
      </c>
      <c r="H1125">
        <v>0</v>
      </c>
    </row>
    <row r="1126" spans="1:8" x14ac:dyDescent="0.3">
      <c r="A1126">
        <v>2</v>
      </c>
      <c r="B1126">
        <v>0</v>
      </c>
      <c r="C1126">
        <v>1</v>
      </c>
      <c r="D1126">
        <v>1</v>
      </c>
      <c r="E1126" t="s">
        <v>14</v>
      </c>
      <c r="F1126">
        <v>0</v>
      </c>
      <c r="G1126">
        <v>0</v>
      </c>
      <c r="H1126">
        <v>2</v>
      </c>
    </row>
    <row r="1127" spans="1:8" x14ac:dyDescent="0.3">
      <c r="A1127">
        <v>2</v>
      </c>
      <c r="B1127">
        <v>0</v>
      </c>
      <c r="C1127">
        <v>1</v>
      </c>
      <c r="D1127">
        <v>1</v>
      </c>
      <c r="E1127" t="s">
        <v>14</v>
      </c>
      <c r="F1127">
        <v>0</v>
      </c>
      <c r="G1127">
        <v>1</v>
      </c>
      <c r="H1127">
        <v>1</v>
      </c>
    </row>
    <row r="1128" spans="1:8" x14ac:dyDescent="0.3">
      <c r="A1128">
        <v>2</v>
      </c>
      <c r="B1128">
        <v>1</v>
      </c>
      <c r="C1128">
        <v>0</v>
      </c>
      <c r="D1128">
        <v>1</v>
      </c>
      <c r="E1128" t="s">
        <v>14</v>
      </c>
      <c r="F1128">
        <v>0</v>
      </c>
      <c r="G1128">
        <v>0</v>
      </c>
      <c r="H1128">
        <v>2</v>
      </c>
    </row>
    <row r="1129" spans="1:8" x14ac:dyDescent="0.3">
      <c r="A1129">
        <v>3</v>
      </c>
      <c r="B1129">
        <v>1</v>
      </c>
      <c r="C1129">
        <v>1</v>
      </c>
      <c r="D1129">
        <v>1</v>
      </c>
      <c r="E1129" t="s">
        <v>14</v>
      </c>
      <c r="F1129">
        <v>2</v>
      </c>
      <c r="G1129">
        <v>1</v>
      </c>
      <c r="H1129">
        <v>0</v>
      </c>
    </row>
    <row r="1130" spans="1:8" x14ac:dyDescent="0.3">
      <c r="A1130">
        <v>3</v>
      </c>
      <c r="B1130">
        <v>1</v>
      </c>
      <c r="C1130">
        <v>1</v>
      </c>
      <c r="D1130">
        <v>1</v>
      </c>
      <c r="E1130" t="s">
        <v>14</v>
      </c>
      <c r="F1130">
        <v>1</v>
      </c>
      <c r="G1130">
        <v>0</v>
      </c>
      <c r="H1130">
        <v>2</v>
      </c>
    </row>
    <row r="1131" spans="1:8" x14ac:dyDescent="0.3">
      <c r="A1131">
        <v>3</v>
      </c>
      <c r="B1131">
        <v>1</v>
      </c>
      <c r="C1131">
        <v>1</v>
      </c>
      <c r="D1131">
        <v>1</v>
      </c>
      <c r="E1131" t="s">
        <v>14</v>
      </c>
      <c r="F1131">
        <v>0</v>
      </c>
      <c r="G1131">
        <v>2</v>
      </c>
      <c r="H1131">
        <v>1</v>
      </c>
    </row>
    <row r="1132" spans="1:8" x14ac:dyDescent="0.3">
      <c r="A1132">
        <v>3</v>
      </c>
      <c r="B1132">
        <v>0</v>
      </c>
      <c r="C1132">
        <v>2</v>
      </c>
      <c r="D1132">
        <v>1</v>
      </c>
      <c r="E1132" t="s">
        <v>14</v>
      </c>
      <c r="F1132">
        <v>0</v>
      </c>
      <c r="G1132">
        <v>2</v>
      </c>
      <c r="H1132">
        <v>1</v>
      </c>
    </row>
    <row r="1133" spans="1:8" x14ac:dyDescent="0.3">
      <c r="A1133">
        <v>3</v>
      </c>
      <c r="B1133">
        <v>1</v>
      </c>
      <c r="C1133">
        <v>0</v>
      </c>
      <c r="D1133">
        <v>2</v>
      </c>
      <c r="E1133" t="s">
        <v>14</v>
      </c>
      <c r="F1133">
        <v>1</v>
      </c>
      <c r="G1133">
        <v>0</v>
      </c>
      <c r="H1133">
        <v>2</v>
      </c>
    </row>
    <row r="1134" spans="1:8" x14ac:dyDescent="0.3">
      <c r="A1134">
        <v>3</v>
      </c>
      <c r="B1134">
        <v>0</v>
      </c>
      <c r="C1134">
        <v>2</v>
      </c>
      <c r="D1134">
        <v>1</v>
      </c>
      <c r="E1134" t="s">
        <v>14</v>
      </c>
      <c r="F1134">
        <v>0</v>
      </c>
      <c r="G1134">
        <v>2</v>
      </c>
      <c r="H1134">
        <v>1</v>
      </c>
    </row>
    <row r="1135" spans="1:8" x14ac:dyDescent="0.3">
      <c r="A1135">
        <v>3</v>
      </c>
      <c r="B1135">
        <v>1</v>
      </c>
      <c r="C1135">
        <v>1</v>
      </c>
      <c r="D1135">
        <v>1</v>
      </c>
      <c r="E1135" t="s">
        <v>14</v>
      </c>
      <c r="F1135">
        <v>1</v>
      </c>
      <c r="G1135">
        <v>1</v>
      </c>
      <c r="H1135">
        <v>1</v>
      </c>
    </row>
    <row r="1136" spans="1:8" x14ac:dyDescent="0.3">
      <c r="A1136">
        <v>3</v>
      </c>
      <c r="B1136">
        <v>2</v>
      </c>
      <c r="C1136">
        <v>1</v>
      </c>
      <c r="D1136">
        <v>0</v>
      </c>
      <c r="E1136" t="s">
        <v>14</v>
      </c>
      <c r="F1136">
        <v>0</v>
      </c>
      <c r="G1136">
        <v>2</v>
      </c>
      <c r="H1136">
        <v>1</v>
      </c>
    </row>
    <row r="1137" spans="1:8" x14ac:dyDescent="0.3">
      <c r="A1137">
        <v>3</v>
      </c>
      <c r="B1137">
        <v>2</v>
      </c>
      <c r="C1137">
        <v>1</v>
      </c>
      <c r="D1137">
        <v>0</v>
      </c>
      <c r="E1137" t="s">
        <v>14</v>
      </c>
      <c r="F1137">
        <v>0</v>
      </c>
      <c r="G1137">
        <v>2</v>
      </c>
      <c r="H1137">
        <v>1</v>
      </c>
    </row>
    <row r="1138" spans="1:8" x14ac:dyDescent="0.3">
      <c r="A1138">
        <v>3</v>
      </c>
      <c r="B1138">
        <v>1</v>
      </c>
      <c r="C1138">
        <v>1</v>
      </c>
      <c r="D1138">
        <v>1</v>
      </c>
      <c r="E1138" t="s">
        <v>14</v>
      </c>
      <c r="F1138">
        <v>0</v>
      </c>
      <c r="G1138">
        <v>2</v>
      </c>
      <c r="H1138">
        <v>1</v>
      </c>
    </row>
    <row r="1139" spans="1:8" x14ac:dyDescent="0.3">
      <c r="A1139">
        <v>3</v>
      </c>
      <c r="B1139">
        <v>1</v>
      </c>
      <c r="C1139">
        <v>1</v>
      </c>
      <c r="D1139">
        <v>1</v>
      </c>
      <c r="E1139" t="s">
        <v>14</v>
      </c>
      <c r="F1139">
        <v>1</v>
      </c>
      <c r="G1139">
        <v>1</v>
      </c>
      <c r="H1139">
        <v>1</v>
      </c>
    </row>
    <row r="1140" spans="1:8" x14ac:dyDescent="0.3">
      <c r="A1140">
        <v>3</v>
      </c>
      <c r="B1140">
        <v>2</v>
      </c>
      <c r="C1140">
        <v>1</v>
      </c>
      <c r="D1140">
        <v>0</v>
      </c>
      <c r="E1140" t="s">
        <v>14</v>
      </c>
      <c r="F1140">
        <v>1</v>
      </c>
      <c r="G1140">
        <v>0</v>
      </c>
      <c r="H1140">
        <v>2</v>
      </c>
    </row>
    <row r="1141" spans="1:8" x14ac:dyDescent="0.3">
      <c r="A1141">
        <v>3</v>
      </c>
      <c r="B1141">
        <v>1</v>
      </c>
      <c r="C1141">
        <v>1</v>
      </c>
      <c r="D1141">
        <v>1</v>
      </c>
      <c r="E1141" t="s">
        <v>14</v>
      </c>
      <c r="F1141">
        <v>1</v>
      </c>
      <c r="G1141">
        <v>1</v>
      </c>
      <c r="H1141">
        <v>1</v>
      </c>
    </row>
    <row r="1142" spans="1:8" x14ac:dyDescent="0.3">
      <c r="A1142">
        <v>3</v>
      </c>
      <c r="B1142">
        <v>1</v>
      </c>
      <c r="C1142">
        <v>1</v>
      </c>
      <c r="D1142">
        <v>1</v>
      </c>
      <c r="E1142" t="s">
        <v>14</v>
      </c>
      <c r="F1142">
        <v>2</v>
      </c>
      <c r="G1142">
        <v>1</v>
      </c>
      <c r="H1142">
        <v>0</v>
      </c>
    </row>
    <row r="1143" spans="1:8" x14ac:dyDescent="0.3">
      <c r="A1143">
        <v>3</v>
      </c>
      <c r="B1143">
        <v>2</v>
      </c>
      <c r="C1143">
        <v>1</v>
      </c>
      <c r="D1143">
        <v>0</v>
      </c>
      <c r="E1143" t="s">
        <v>14</v>
      </c>
      <c r="F1143">
        <v>2</v>
      </c>
      <c r="G1143">
        <v>1</v>
      </c>
      <c r="H1143">
        <v>0</v>
      </c>
    </row>
    <row r="1144" spans="1:8" x14ac:dyDescent="0.3">
      <c r="A1144">
        <v>3</v>
      </c>
      <c r="B1144">
        <v>1</v>
      </c>
      <c r="C1144">
        <v>1</v>
      </c>
      <c r="D1144">
        <v>1</v>
      </c>
      <c r="E1144" t="s">
        <v>14</v>
      </c>
      <c r="F1144">
        <v>1</v>
      </c>
      <c r="G1144">
        <v>1</v>
      </c>
      <c r="H1144">
        <v>1</v>
      </c>
    </row>
    <row r="1145" spans="1:8" x14ac:dyDescent="0.3">
      <c r="A1145">
        <v>3</v>
      </c>
      <c r="B1145">
        <v>1</v>
      </c>
      <c r="C1145">
        <v>0</v>
      </c>
      <c r="D1145">
        <v>2</v>
      </c>
      <c r="E1145" t="s">
        <v>14</v>
      </c>
      <c r="F1145">
        <v>1</v>
      </c>
      <c r="G1145">
        <v>0</v>
      </c>
      <c r="H1145">
        <v>2</v>
      </c>
    </row>
    <row r="1146" spans="1:8" x14ac:dyDescent="0.3">
      <c r="A1146">
        <v>3</v>
      </c>
      <c r="B1146">
        <v>1</v>
      </c>
      <c r="C1146">
        <v>1</v>
      </c>
      <c r="D1146">
        <v>1</v>
      </c>
      <c r="E1146" t="s">
        <v>14</v>
      </c>
      <c r="F1146">
        <v>1</v>
      </c>
      <c r="G1146">
        <v>1</v>
      </c>
      <c r="H1146">
        <v>1</v>
      </c>
    </row>
    <row r="1147" spans="1:8" x14ac:dyDescent="0.3">
      <c r="A1147">
        <v>3</v>
      </c>
      <c r="B1147">
        <v>1</v>
      </c>
      <c r="C1147">
        <v>1</v>
      </c>
      <c r="D1147">
        <v>1</v>
      </c>
      <c r="E1147" t="s">
        <v>14</v>
      </c>
      <c r="F1147">
        <v>1</v>
      </c>
      <c r="G1147">
        <v>0</v>
      </c>
      <c r="H1147">
        <v>2</v>
      </c>
    </row>
    <row r="1148" spans="1:8" x14ac:dyDescent="0.3">
      <c r="A1148">
        <v>3</v>
      </c>
      <c r="B1148">
        <v>1</v>
      </c>
      <c r="C1148">
        <v>0</v>
      </c>
      <c r="D1148">
        <v>2</v>
      </c>
      <c r="E1148" t="s">
        <v>14</v>
      </c>
      <c r="F1148">
        <v>1</v>
      </c>
      <c r="G1148">
        <v>0</v>
      </c>
      <c r="H1148">
        <v>2</v>
      </c>
    </row>
    <row r="1149" spans="1:8" x14ac:dyDescent="0.3">
      <c r="A1149">
        <v>3</v>
      </c>
      <c r="B1149">
        <v>1</v>
      </c>
      <c r="C1149">
        <v>1</v>
      </c>
      <c r="D1149">
        <v>1</v>
      </c>
      <c r="E1149" t="s">
        <v>14</v>
      </c>
      <c r="F1149">
        <v>1</v>
      </c>
      <c r="G1149">
        <v>1</v>
      </c>
      <c r="H1149">
        <v>1</v>
      </c>
    </row>
    <row r="1150" spans="1:8" x14ac:dyDescent="0.3">
      <c r="A1150">
        <v>3</v>
      </c>
      <c r="B1150">
        <v>1</v>
      </c>
      <c r="C1150">
        <v>1</v>
      </c>
      <c r="D1150">
        <v>1</v>
      </c>
      <c r="E1150" t="s">
        <v>14</v>
      </c>
      <c r="F1150">
        <v>1</v>
      </c>
      <c r="G1150">
        <v>1</v>
      </c>
      <c r="H1150">
        <v>1</v>
      </c>
    </row>
    <row r="1151" spans="1:8" x14ac:dyDescent="0.3">
      <c r="A1151">
        <v>3</v>
      </c>
      <c r="B1151">
        <v>0</v>
      </c>
      <c r="C1151">
        <v>2</v>
      </c>
      <c r="D1151">
        <v>1</v>
      </c>
      <c r="E1151" t="s">
        <v>14</v>
      </c>
      <c r="F1151">
        <v>1</v>
      </c>
      <c r="G1151">
        <v>0</v>
      </c>
      <c r="H1151">
        <v>2</v>
      </c>
    </row>
    <row r="1152" spans="1:8" x14ac:dyDescent="0.3">
      <c r="A1152">
        <v>3</v>
      </c>
      <c r="B1152">
        <v>1</v>
      </c>
      <c r="C1152">
        <v>1</v>
      </c>
      <c r="D1152">
        <v>1</v>
      </c>
      <c r="E1152" t="s">
        <v>14</v>
      </c>
      <c r="F1152">
        <v>0</v>
      </c>
      <c r="G1152">
        <v>2</v>
      </c>
      <c r="H1152">
        <v>1</v>
      </c>
    </row>
    <row r="1153" spans="1:8" x14ac:dyDescent="0.3">
      <c r="A1153">
        <v>3</v>
      </c>
      <c r="B1153">
        <v>1</v>
      </c>
      <c r="C1153">
        <v>1</v>
      </c>
      <c r="D1153">
        <v>1</v>
      </c>
      <c r="E1153" t="s">
        <v>14</v>
      </c>
      <c r="F1153">
        <v>1</v>
      </c>
      <c r="G1153">
        <v>1</v>
      </c>
      <c r="H1153">
        <v>1</v>
      </c>
    </row>
    <row r="1154" spans="1:8" x14ac:dyDescent="0.3">
      <c r="A1154">
        <v>3</v>
      </c>
      <c r="B1154">
        <v>0</v>
      </c>
      <c r="C1154">
        <v>2</v>
      </c>
      <c r="D1154">
        <v>1</v>
      </c>
      <c r="E1154" t="s">
        <v>14</v>
      </c>
      <c r="F1154">
        <v>0</v>
      </c>
      <c r="G1154">
        <v>2</v>
      </c>
      <c r="H1154">
        <v>1</v>
      </c>
    </row>
    <row r="1155" spans="1:8" x14ac:dyDescent="0.3">
      <c r="A1155">
        <v>3</v>
      </c>
      <c r="B1155">
        <v>1</v>
      </c>
      <c r="C1155">
        <v>1</v>
      </c>
      <c r="D1155">
        <v>1</v>
      </c>
      <c r="E1155" t="s">
        <v>14</v>
      </c>
      <c r="F1155">
        <v>0</v>
      </c>
      <c r="G1155">
        <v>2</v>
      </c>
      <c r="H1155">
        <v>1</v>
      </c>
    </row>
    <row r="1156" spans="1:8" x14ac:dyDescent="0.3">
      <c r="A1156">
        <v>3</v>
      </c>
      <c r="B1156">
        <v>1</v>
      </c>
      <c r="C1156">
        <v>1</v>
      </c>
      <c r="D1156">
        <v>1</v>
      </c>
      <c r="E1156" t="s">
        <v>14</v>
      </c>
      <c r="F1156">
        <v>1</v>
      </c>
      <c r="G1156">
        <v>1</v>
      </c>
      <c r="H1156">
        <v>1</v>
      </c>
    </row>
    <row r="1157" spans="1:8" x14ac:dyDescent="0.3">
      <c r="A1157">
        <v>3</v>
      </c>
      <c r="B1157">
        <v>1</v>
      </c>
      <c r="C1157">
        <v>1</v>
      </c>
      <c r="D1157">
        <v>1</v>
      </c>
      <c r="E1157" t="s">
        <v>14</v>
      </c>
      <c r="F1157">
        <v>0</v>
      </c>
      <c r="G1157">
        <v>2</v>
      </c>
      <c r="H1157">
        <v>1</v>
      </c>
    </row>
    <row r="1158" spans="1:8" x14ac:dyDescent="0.3">
      <c r="A1158">
        <v>3</v>
      </c>
      <c r="B1158">
        <v>1</v>
      </c>
      <c r="C1158">
        <v>1</v>
      </c>
      <c r="D1158">
        <v>1</v>
      </c>
      <c r="E1158" t="s">
        <v>14</v>
      </c>
      <c r="F1158">
        <v>1</v>
      </c>
      <c r="G1158">
        <v>0</v>
      </c>
      <c r="H1158">
        <v>2</v>
      </c>
    </row>
    <row r="1159" spans="1:8" x14ac:dyDescent="0.3">
      <c r="A1159">
        <v>3</v>
      </c>
      <c r="B1159">
        <v>1</v>
      </c>
      <c r="C1159">
        <v>1</v>
      </c>
      <c r="D1159">
        <v>1</v>
      </c>
      <c r="E1159" t="s">
        <v>14</v>
      </c>
      <c r="F1159">
        <v>1</v>
      </c>
      <c r="G1159">
        <v>1</v>
      </c>
      <c r="H1159">
        <v>1</v>
      </c>
    </row>
    <row r="1160" spans="1:8" x14ac:dyDescent="0.3">
      <c r="A1160">
        <v>3</v>
      </c>
      <c r="B1160">
        <v>1</v>
      </c>
      <c r="C1160">
        <v>1</v>
      </c>
      <c r="D1160">
        <v>1</v>
      </c>
      <c r="E1160" t="s">
        <v>14</v>
      </c>
      <c r="F1160">
        <v>1</v>
      </c>
      <c r="G1160">
        <v>1</v>
      </c>
      <c r="H1160">
        <v>1</v>
      </c>
    </row>
    <row r="1161" spans="1:8" x14ac:dyDescent="0.3">
      <c r="A1161">
        <v>3</v>
      </c>
      <c r="B1161">
        <v>1</v>
      </c>
      <c r="C1161">
        <v>1</v>
      </c>
      <c r="D1161">
        <v>1</v>
      </c>
      <c r="E1161" t="s">
        <v>14</v>
      </c>
      <c r="F1161">
        <v>1</v>
      </c>
      <c r="G1161">
        <v>1</v>
      </c>
      <c r="H1161">
        <v>1</v>
      </c>
    </row>
    <row r="1162" spans="1:8" x14ac:dyDescent="0.3">
      <c r="A1162">
        <v>3</v>
      </c>
      <c r="B1162">
        <v>1</v>
      </c>
      <c r="C1162">
        <v>1</v>
      </c>
      <c r="D1162">
        <v>1</v>
      </c>
      <c r="E1162" t="s">
        <v>14</v>
      </c>
      <c r="F1162">
        <v>1</v>
      </c>
      <c r="G1162">
        <v>1</v>
      </c>
      <c r="H1162">
        <v>1</v>
      </c>
    </row>
    <row r="1163" spans="1:8" x14ac:dyDescent="0.3">
      <c r="A1163">
        <v>3</v>
      </c>
      <c r="B1163">
        <v>1</v>
      </c>
      <c r="C1163">
        <v>1</v>
      </c>
      <c r="D1163">
        <v>1</v>
      </c>
      <c r="E1163" t="s">
        <v>14</v>
      </c>
      <c r="F1163">
        <v>1</v>
      </c>
      <c r="G1163">
        <v>1</v>
      </c>
      <c r="H1163">
        <v>1</v>
      </c>
    </row>
    <row r="1164" spans="1:8" x14ac:dyDescent="0.3">
      <c r="A1164">
        <v>3</v>
      </c>
      <c r="B1164">
        <v>1</v>
      </c>
      <c r="C1164">
        <v>1</v>
      </c>
      <c r="D1164">
        <v>1</v>
      </c>
      <c r="E1164" t="s">
        <v>14</v>
      </c>
      <c r="F1164">
        <v>1</v>
      </c>
      <c r="G1164">
        <v>1</v>
      </c>
      <c r="H1164">
        <v>1</v>
      </c>
    </row>
    <row r="1165" spans="1:8" x14ac:dyDescent="0.3">
      <c r="A1165">
        <v>3</v>
      </c>
      <c r="B1165">
        <v>1</v>
      </c>
      <c r="C1165">
        <v>1</v>
      </c>
      <c r="D1165">
        <v>1</v>
      </c>
      <c r="E1165" t="s">
        <v>14</v>
      </c>
      <c r="F1165">
        <v>2</v>
      </c>
      <c r="G1165">
        <v>1</v>
      </c>
      <c r="H1165">
        <v>0</v>
      </c>
    </row>
    <row r="1166" spans="1:8" x14ac:dyDescent="0.3">
      <c r="A1166">
        <v>3</v>
      </c>
      <c r="B1166">
        <v>1</v>
      </c>
      <c r="C1166">
        <v>1</v>
      </c>
      <c r="D1166">
        <v>1</v>
      </c>
      <c r="E1166" t="s">
        <v>14</v>
      </c>
      <c r="F1166">
        <v>1</v>
      </c>
      <c r="G1166">
        <v>1</v>
      </c>
      <c r="H1166">
        <v>1</v>
      </c>
    </row>
    <row r="1167" spans="1:8" x14ac:dyDescent="0.3">
      <c r="A1167">
        <v>3</v>
      </c>
      <c r="B1167">
        <v>1</v>
      </c>
      <c r="C1167">
        <v>0</v>
      </c>
      <c r="D1167">
        <v>2</v>
      </c>
      <c r="E1167" t="s">
        <v>14</v>
      </c>
      <c r="F1167">
        <v>2</v>
      </c>
      <c r="G1167">
        <v>1</v>
      </c>
      <c r="H1167">
        <v>0</v>
      </c>
    </row>
    <row r="1168" spans="1:8" x14ac:dyDescent="0.3">
      <c r="A1168">
        <v>3</v>
      </c>
      <c r="B1168">
        <v>1</v>
      </c>
      <c r="C1168">
        <v>1</v>
      </c>
      <c r="D1168">
        <v>1</v>
      </c>
      <c r="E1168" t="s">
        <v>14</v>
      </c>
      <c r="F1168">
        <v>1</v>
      </c>
      <c r="G1168">
        <v>1</v>
      </c>
      <c r="H1168">
        <v>1</v>
      </c>
    </row>
    <row r="1169" spans="1:8" x14ac:dyDescent="0.3">
      <c r="A1169">
        <v>3</v>
      </c>
      <c r="B1169">
        <v>0</v>
      </c>
      <c r="C1169">
        <v>2</v>
      </c>
      <c r="D1169">
        <v>1</v>
      </c>
      <c r="E1169" t="s">
        <v>14</v>
      </c>
      <c r="F1169">
        <v>1</v>
      </c>
      <c r="G1169">
        <v>0</v>
      </c>
      <c r="H1169">
        <v>2</v>
      </c>
    </row>
    <row r="1170" spans="1:8" x14ac:dyDescent="0.3">
      <c r="A1170">
        <v>3</v>
      </c>
      <c r="B1170">
        <v>1</v>
      </c>
      <c r="C1170">
        <v>0</v>
      </c>
      <c r="D1170">
        <v>2</v>
      </c>
      <c r="E1170" t="s">
        <v>14</v>
      </c>
      <c r="F1170">
        <v>1</v>
      </c>
      <c r="G1170">
        <v>0</v>
      </c>
      <c r="H1170">
        <v>2</v>
      </c>
    </row>
    <row r="1171" spans="1:8" x14ac:dyDescent="0.3">
      <c r="A1171">
        <v>4</v>
      </c>
      <c r="B1171">
        <v>2</v>
      </c>
      <c r="C1171">
        <v>1</v>
      </c>
      <c r="D1171">
        <v>1</v>
      </c>
      <c r="E1171" t="s">
        <v>14</v>
      </c>
      <c r="F1171">
        <v>2</v>
      </c>
      <c r="G1171">
        <v>1</v>
      </c>
      <c r="H1171">
        <v>1</v>
      </c>
    </row>
    <row r="1172" spans="1:8" x14ac:dyDescent="0.3">
      <c r="A1172">
        <v>4</v>
      </c>
      <c r="B1172">
        <v>1</v>
      </c>
      <c r="C1172">
        <v>2</v>
      </c>
      <c r="D1172">
        <v>1</v>
      </c>
      <c r="E1172" t="s">
        <v>14</v>
      </c>
      <c r="F1172">
        <v>1</v>
      </c>
      <c r="G1172">
        <v>2</v>
      </c>
      <c r="H1172">
        <v>1</v>
      </c>
    </row>
    <row r="1173" spans="1:8" x14ac:dyDescent="0.3">
      <c r="A1173">
        <v>4</v>
      </c>
      <c r="B1173">
        <v>1</v>
      </c>
      <c r="C1173">
        <v>1</v>
      </c>
      <c r="D1173">
        <v>2</v>
      </c>
      <c r="E1173" t="s">
        <v>14</v>
      </c>
      <c r="F1173">
        <v>1</v>
      </c>
      <c r="G1173">
        <v>1</v>
      </c>
      <c r="H1173">
        <v>2</v>
      </c>
    </row>
    <row r="1174" spans="1:8" x14ac:dyDescent="0.3">
      <c r="A1174">
        <v>4</v>
      </c>
      <c r="B1174">
        <v>1</v>
      </c>
      <c r="C1174">
        <v>1</v>
      </c>
      <c r="D1174">
        <v>2</v>
      </c>
      <c r="E1174" t="s">
        <v>14</v>
      </c>
      <c r="F1174">
        <v>0</v>
      </c>
      <c r="G1174">
        <v>2</v>
      </c>
      <c r="H1174">
        <v>2</v>
      </c>
    </row>
    <row r="1175" spans="1:8" x14ac:dyDescent="0.3">
      <c r="A1175">
        <v>4</v>
      </c>
      <c r="B1175">
        <v>1</v>
      </c>
      <c r="C1175">
        <v>1</v>
      </c>
      <c r="D1175">
        <v>2</v>
      </c>
      <c r="E1175" t="s">
        <v>14</v>
      </c>
      <c r="F1175">
        <v>1</v>
      </c>
      <c r="G1175">
        <v>1</v>
      </c>
      <c r="H1175">
        <v>2</v>
      </c>
    </row>
    <row r="1176" spans="1:8" x14ac:dyDescent="0.3">
      <c r="A1176">
        <v>5</v>
      </c>
      <c r="B1176">
        <v>2</v>
      </c>
      <c r="C1176">
        <v>1</v>
      </c>
      <c r="D1176">
        <v>2</v>
      </c>
      <c r="E1176" t="s">
        <v>14</v>
      </c>
      <c r="F1176">
        <v>2</v>
      </c>
      <c r="G1176">
        <v>3</v>
      </c>
      <c r="H1176">
        <v>0</v>
      </c>
    </row>
    <row r="1177" spans="1:8" x14ac:dyDescent="0.3">
      <c r="A1177">
        <v>5</v>
      </c>
      <c r="B1177">
        <v>2</v>
      </c>
      <c r="C1177">
        <v>2</v>
      </c>
      <c r="D1177">
        <v>1</v>
      </c>
      <c r="E1177" t="s">
        <v>14</v>
      </c>
      <c r="F1177">
        <v>2</v>
      </c>
      <c r="G1177">
        <v>3</v>
      </c>
      <c r="H1177">
        <v>0</v>
      </c>
    </row>
    <row r="1178" spans="1:8" x14ac:dyDescent="0.3">
      <c r="A1178">
        <v>5</v>
      </c>
      <c r="B1178">
        <v>2</v>
      </c>
      <c r="C1178">
        <v>1</v>
      </c>
      <c r="D1178">
        <v>2</v>
      </c>
      <c r="E1178" t="s">
        <v>14</v>
      </c>
      <c r="F1178">
        <v>2</v>
      </c>
      <c r="G1178">
        <v>1</v>
      </c>
      <c r="H1178">
        <v>2</v>
      </c>
    </row>
    <row r="1179" spans="1:8" x14ac:dyDescent="0.3">
      <c r="A1179">
        <v>5</v>
      </c>
      <c r="B1179">
        <v>2</v>
      </c>
      <c r="C1179">
        <v>1</v>
      </c>
      <c r="D1179">
        <v>2</v>
      </c>
      <c r="E1179" t="s">
        <v>14</v>
      </c>
      <c r="F1179">
        <v>2</v>
      </c>
      <c r="G1179">
        <v>1</v>
      </c>
      <c r="H1179">
        <v>2</v>
      </c>
    </row>
    <row r="1180" spans="1:8" x14ac:dyDescent="0.3">
      <c r="A1180">
        <v>5</v>
      </c>
      <c r="B1180">
        <v>2</v>
      </c>
      <c r="C1180">
        <v>2</v>
      </c>
      <c r="D1180">
        <v>1</v>
      </c>
      <c r="E1180" t="s">
        <v>14</v>
      </c>
      <c r="F1180">
        <v>3</v>
      </c>
      <c r="G1180">
        <v>0</v>
      </c>
      <c r="H1180">
        <v>2</v>
      </c>
    </row>
    <row r="1181" spans="1:8" x14ac:dyDescent="0.3">
      <c r="A1181">
        <v>6</v>
      </c>
      <c r="B1181">
        <v>3</v>
      </c>
      <c r="C1181">
        <v>1</v>
      </c>
      <c r="D1181">
        <v>2</v>
      </c>
      <c r="E1181" t="s">
        <v>14</v>
      </c>
      <c r="F1181">
        <v>3</v>
      </c>
      <c r="G1181">
        <v>1</v>
      </c>
      <c r="H1181">
        <v>2</v>
      </c>
    </row>
    <row r="1182" spans="1:8" x14ac:dyDescent="0.3">
      <c r="A1182">
        <v>6</v>
      </c>
      <c r="B1182">
        <v>2</v>
      </c>
      <c r="C1182">
        <v>2</v>
      </c>
      <c r="D1182">
        <v>2</v>
      </c>
      <c r="E1182" t="s">
        <v>14</v>
      </c>
      <c r="F1182">
        <v>2</v>
      </c>
      <c r="G1182">
        <v>2</v>
      </c>
      <c r="H1182">
        <v>2</v>
      </c>
    </row>
    <row r="1183" spans="1:8" x14ac:dyDescent="0.3">
      <c r="A1183">
        <v>6</v>
      </c>
      <c r="B1183">
        <v>1</v>
      </c>
      <c r="C1183">
        <v>2</v>
      </c>
      <c r="D1183">
        <v>3</v>
      </c>
      <c r="E1183" t="s">
        <v>14</v>
      </c>
      <c r="F1183">
        <v>1</v>
      </c>
      <c r="G1183">
        <v>2</v>
      </c>
      <c r="H1183">
        <v>3</v>
      </c>
    </row>
    <row r="1184" spans="1:8" x14ac:dyDescent="0.3">
      <c r="A1184">
        <v>6</v>
      </c>
      <c r="B1184">
        <v>2</v>
      </c>
      <c r="C1184">
        <v>2</v>
      </c>
      <c r="D1184">
        <v>2</v>
      </c>
      <c r="E1184" t="s">
        <v>14</v>
      </c>
      <c r="F1184">
        <v>2</v>
      </c>
      <c r="G1184">
        <v>2</v>
      </c>
      <c r="H1184">
        <v>2</v>
      </c>
    </row>
    <row r="1185" spans="1:8" x14ac:dyDescent="0.3">
      <c r="A1185">
        <v>6</v>
      </c>
      <c r="B1185">
        <v>1</v>
      </c>
      <c r="C1185">
        <v>2</v>
      </c>
      <c r="D1185">
        <v>3</v>
      </c>
      <c r="E1185" t="s">
        <v>14</v>
      </c>
      <c r="F1185">
        <v>1</v>
      </c>
      <c r="G1185">
        <v>2</v>
      </c>
      <c r="H1185">
        <v>3</v>
      </c>
    </row>
    <row r="1186" spans="1:8" x14ac:dyDescent="0.3">
      <c r="A1186">
        <v>7</v>
      </c>
      <c r="B1186">
        <v>2</v>
      </c>
      <c r="C1186">
        <v>3</v>
      </c>
      <c r="D1186">
        <v>2</v>
      </c>
      <c r="E1186" t="s">
        <v>14</v>
      </c>
      <c r="F1186">
        <v>2</v>
      </c>
      <c r="G1186">
        <v>3</v>
      </c>
      <c r="H1186">
        <v>2</v>
      </c>
    </row>
    <row r="1187" spans="1:8" x14ac:dyDescent="0.3">
      <c r="A1187">
        <v>7</v>
      </c>
      <c r="B1187">
        <v>2</v>
      </c>
      <c r="C1187">
        <v>2</v>
      </c>
      <c r="D1187">
        <v>3</v>
      </c>
      <c r="E1187" t="s">
        <v>14</v>
      </c>
      <c r="F1187">
        <v>2</v>
      </c>
      <c r="G1187">
        <v>2</v>
      </c>
      <c r="H1187">
        <v>3</v>
      </c>
    </row>
    <row r="1188" spans="1:8" x14ac:dyDescent="0.3">
      <c r="A1188">
        <v>7</v>
      </c>
      <c r="B1188">
        <v>2</v>
      </c>
      <c r="C1188">
        <v>3</v>
      </c>
      <c r="D1188">
        <v>2</v>
      </c>
      <c r="E1188" t="s">
        <v>14</v>
      </c>
      <c r="F1188">
        <v>2</v>
      </c>
      <c r="G1188">
        <v>3</v>
      </c>
      <c r="H1188">
        <v>2</v>
      </c>
    </row>
    <row r="1189" spans="1:8" x14ac:dyDescent="0.3">
      <c r="A1189">
        <v>7</v>
      </c>
      <c r="B1189">
        <v>2</v>
      </c>
      <c r="C1189">
        <v>3</v>
      </c>
      <c r="D1189">
        <v>2</v>
      </c>
      <c r="E1189" t="s">
        <v>14</v>
      </c>
      <c r="F1189">
        <v>2</v>
      </c>
      <c r="G1189">
        <v>3</v>
      </c>
      <c r="H1189">
        <v>2</v>
      </c>
    </row>
    <row r="1190" spans="1:8" x14ac:dyDescent="0.3">
      <c r="A1190">
        <v>8</v>
      </c>
      <c r="B1190">
        <v>2</v>
      </c>
      <c r="C1190">
        <v>3</v>
      </c>
      <c r="D1190">
        <v>3</v>
      </c>
      <c r="E1190" t="s">
        <v>14</v>
      </c>
      <c r="F1190">
        <v>2</v>
      </c>
      <c r="G1190">
        <v>3</v>
      </c>
      <c r="H1190">
        <v>3</v>
      </c>
    </row>
    <row r="1191" spans="1:8" x14ac:dyDescent="0.3">
      <c r="A1191">
        <v>2</v>
      </c>
      <c r="B1191">
        <v>0</v>
      </c>
      <c r="C1191">
        <v>1</v>
      </c>
      <c r="D1191">
        <v>1</v>
      </c>
      <c r="E1191" t="s">
        <v>14</v>
      </c>
      <c r="F1191">
        <v>0</v>
      </c>
      <c r="G1191">
        <v>0</v>
      </c>
      <c r="H1191">
        <v>2</v>
      </c>
    </row>
    <row r="1192" spans="1:8" x14ac:dyDescent="0.3">
      <c r="A1192">
        <v>2</v>
      </c>
      <c r="B1192">
        <v>1</v>
      </c>
      <c r="C1192">
        <v>1</v>
      </c>
      <c r="D1192">
        <v>0</v>
      </c>
      <c r="E1192" t="s">
        <v>14</v>
      </c>
      <c r="F1192">
        <v>0</v>
      </c>
      <c r="G1192">
        <v>0</v>
      </c>
      <c r="H1192">
        <v>2</v>
      </c>
    </row>
    <row r="1193" spans="1:8" x14ac:dyDescent="0.3">
      <c r="A1193">
        <v>2</v>
      </c>
      <c r="B1193">
        <v>1</v>
      </c>
      <c r="C1193">
        <v>1</v>
      </c>
      <c r="D1193">
        <v>0</v>
      </c>
      <c r="E1193" t="s">
        <v>14</v>
      </c>
      <c r="F1193">
        <v>1</v>
      </c>
      <c r="G1193">
        <v>1</v>
      </c>
      <c r="H1193">
        <v>0</v>
      </c>
    </row>
    <row r="1194" spans="1:8" x14ac:dyDescent="0.3">
      <c r="A1194">
        <v>2</v>
      </c>
      <c r="B1194">
        <v>1</v>
      </c>
      <c r="C1194">
        <v>0</v>
      </c>
      <c r="D1194">
        <v>1</v>
      </c>
      <c r="E1194" t="s">
        <v>14</v>
      </c>
      <c r="F1194">
        <v>2</v>
      </c>
      <c r="G1194">
        <v>0</v>
      </c>
      <c r="H1194">
        <v>0</v>
      </c>
    </row>
    <row r="1195" spans="1:8" x14ac:dyDescent="0.3">
      <c r="A1195">
        <v>2</v>
      </c>
      <c r="B1195">
        <v>1</v>
      </c>
      <c r="C1195">
        <v>1</v>
      </c>
      <c r="D1195">
        <v>0</v>
      </c>
      <c r="E1195" t="s">
        <v>14</v>
      </c>
      <c r="F1195">
        <v>1</v>
      </c>
      <c r="G1195">
        <v>1</v>
      </c>
      <c r="H1195">
        <v>0</v>
      </c>
    </row>
    <row r="1196" spans="1:8" x14ac:dyDescent="0.3">
      <c r="A1196">
        <v>2</v>
      </c>
      <c r="B1196">
        <v>1</v>
      </c>
      <c r="C1196">
        <v>0</v>
      </c>
      <c r="D1196">
        <v>1</v>
      </c>
      <c r="E1196" t="s">
        <v>14</v>
      </c>
      <c r="F1196">
        <v>0</v>
      </c>
      <c r="G1196">
        <v>2</v>
      </c>
      <c r="H1196">
        <v>0</v>
      </c>
    </row>
    <row r="1197" spans="1:8" x14ac:dyDescent="0.3">
      <c r="A1197">
        <v>2</v>
      </c>
      <c r="B1197">
        <v>0</v>
      </c>
      <c r="C1197">
        <v>1</v>
      </c>
      <c r="D1197">
        <v>1</v>
      </c>
      <c r="E1197" t="s">
        <v>14</v>
      </c>
      <c r="F1197">
        <v>0</v>
      </c>
      <c r="G1197">
        <v>1</v>
      </c>
      <c r="H1197">
        <v>1</v>
      </c>
    </row>
    <row r="1198" spans="1:8" x14ac:dyDescent="0.3">
      <c r="A1198">
        <v>2</v>
      </c>
      <c r="B1198">
        <v>0</v>
      </c>
      <c r="C1198">
        <v>1</v>
      </c>
      <c r="D1198">
        <v>1</v>
      </c>
      <c r="E1198" t="s">
        <v>14</v>
      </c>
      <c r="F1198">
        <v>0</v>
      </c>
      <c r="G1198">
        <v>1</v>
      </c>
      <c r="H1198">
        <v>1</v>
      </c>
    </row>
    <row r="1199" spans="1:8" x14ac:dyDescent="0.3">
      <c r="A1199">
        <v>3</v>
      </c>
      <c r="B1199">
        <v>1</v>
      </c>
      <c r="C1199">
        <v>1</v>
      </c>
      <c r="D1199">
        <v>1</v>
      </c>
      <c r="E1199" t="s">
        <v>14</v>
      </c>
      <c r="F1199">
        <v>0</v>
      </c>
      <c r="G1199">
        <v>2</v>
      </c>
      <c r="H1199">
        <v>1</v>
      </c>
    </row>
    <row r="1200" spans="1:8" x14ac:dyDescent="0.3">
      <c r="A1200">
        <v>3</v>
      </c>
      <c r="B1200">
        <v>1</v>
      </c>
      <c r="C1200">
        <v>0</v>
      </c>
      <c r="D1200">
        <v>2</v>
      </c>
      <c r="E1200" t="s">
        <v>14</v>
      </c>
      <c r="F1200">
        <v>1</v>
      </c>
      <c r="G1200">
        <v>0</v>
      </c>
      <c r="H1200">
        <v>2</v>
      </c>
    </row>
    <row r="1201" spans="1:8" x14ac:dyDescent="0.3">
      <c r="A1201">
        <v>3</v>
      </c>
      <c r="B1201">
        <v>1</v>
      </c>
      <c r="C1201">
        <v>1</v>
      </c>
      <c r="D1201">
        <v>1</v>
      </c>
      <c r="E1201" t="s">
        <v>14</v>
      </c>
      <c r="F1201">
        <v>2</v>
      </c>
      <c r="G1201">
        <v>1</v>
      </c>
      <c r="H1201">
        <v>0</v>
      </c>
    </row>
    <row r="1202" spans="1:8" x14ac:dyDescent="0.3">
      <c r="A1202">
        <v>3</v>
      </c>
      <c r="B1202">
        <v>0</v>
      </c>
      <c r="C1202">
        <v>2</v>
      </c>
      <c r="D1202">
        <v>1</v>
      </c>
      <c r="E1202" t="s">
        <v>14</v>
      </c>
      <c r="F1202">
        <v>1</v>
      </c>
      <c r="G1202">
        <v>0</v>
      </c>
      <c r="H1202">
        <v>2</v>
      </c>
    </row>
    <row r="1203" spans="1:8" x14ac:dyDescent="0.3">
      <c r="A1203">
        <v>3</v>
      </c>
      <c r="B1203">
        <v>1</v>
      </c>
      <c r="C1203">
        <v>1</v>
      </c>
      <c r="D1203">
        <v>1</v>
      </c>
      <c r="E1203" t="s">
        <v>14</v>
      </c>
      <c r="F1203">
        <v>0</v>
      </c>
      <c r="G1203">
        <v>2</v>
      </c>
      <c r="H1203">
        <v>1</v>
      </c>
    </row>
    <row r="1204" spans="1:8" x14ac:dyDescent="0.3">
      <c r="A1204">
        <v>3</v>
      </c>
      <c r="B1204">
        <v>1</v>
      </c>
      <c r="C1204">
        <v>1</v>
      </c>
      <c r="D1204">
        <v>1</v>
      </c>
      <c r="E1204" t="s">
        <v>14</v>
      </c>
      <c r="F1204">
        <v>1</v>
      </c>
      <c r="G1204">
        <v>1</v>
      </c>
      <c r="H1204">
        <v>1</v>
      </c>
    </row>
    <row r="1205" spans="1:8" x14ac:dyDescent="0.3">
      <c r="A1205">
        <v>3</v>
      </c>
      <c r="B1205">
        <v>2</v>
      </c>
      <c r="C1205">
        <v>1</v>
      </c>
      <c r="D1205">
        <v>0</v>
      </c>
      <c r="E1205" t="s">
        <v>14</v>
      </c>
      <c r="F1205">
        <v>2</v>
      </c>
      <c r="G1205">
        <v>1</v>
      </c>
      <c r="H1205">
        <v>0</v>
      </c>
    </row>
    <row r="1206" spans="1:8" x14ac:dyDescent="0.3">
      <c r="A1206">
        <v>3</v>
      </c>
      <c r="B1206">
        <v>0</v>
      </c>
      <c r="C1206">
        <v>2</v>
      </c>
      <c r="D1206">
        <v>1</v>
      </c>
      <c r="E1206" t="s">
        <v>14</v>
      </c>
      <c r="F1206">
        <v>2</v>
      </c>
      <c r="G1206">
        <v>1</v>
      </c>
      <c r="H1206">
        <v>0</v>
      </c>
    </row>
    <row r="1207" spans="1:8" x14ac:dyDescent="0.3">
      <c r="A1207">
        <v>3</v>
      </c>
      <c r="B1207">
        <v>1</v>
      </c>
      <c r="C1207">
        <v>0</v>
      </c>
      <c r="D1207">
        <v>2</v>
      </c>
      <c r="E1207" t="s">
        <v>14</v>
      </c>
      <c r="F1207">
        <v>2</v>
      </c>
      <c r="G1207">
        <v>1</v>
      </c>
      <c r="H1207">
        <v>0</v>
      </c>
    </row>
    <row r="1208" spans="1:8" x14ac:dyDescent="0.3">
      <c r="A1208">
        <v>3</v>
      </c>
      <c r="B1208">
        <v>1</v>
      </c>
      <c r="C1208">
        <v>0</v>
      </c>
      <c r="D1208">
        <v>2</v>
      </c>
      <c r="E1208" t="s">
        <v>14</v>
      </c>
      <c r="F1208">
        <v>1</v>
      </c>
      <c r="G1208">
        <v>0</v>
      </c>
      <c r="H1208">
        <v>2</v>
      </c>
    </row>
    <row r="1209" spans="1:8" x14ac:dyDescent="0.3">
      <c r="A1209">
        <v>3</v>
      </c>
      <c r="B1209">
        <v>1</v>
      </c>
      <c r="C1209">
        <v>1</v>
      </c>
      <c r="D1209">
        <v>1</v>
      </c>
      <c r="E1209" t="s">
        <v>14</v>
      </c>
      <c r="F1209">
        <v>0</v>
      </c>
      <c r="G1209">
        <v>2</v>
      </c>
      <c r="H1209">
        <v>1</v>
      </c>
    </row>
    <row r="1210" spans="1:8" x14ac:dyDescent="0.3">
      <c r="A1210">
        <v>3</v>
      </c>
      <c r="B1210">
        <v>1</v>
      </c>
      <c r="C1210">
        <v>1</v>
      </c>
      <c r="D1210">
        <v>1</v>
      </c>
      <c r="E1210" t="s">
        <v>14</v>
      </c>
      <c r="F1210">
        <v>2</v>
      </c>
      <c r="G1210">
        <v>1</v>
      </c>
      <c r="H1210">
        <v>0</v>
      </c>
    </row>
    <row r="1211" spans="1:8" x14ac:dyDescent="0.3">
      <c r="A1211">
        <v>3</v>
      </c>
      <c r="B1211">
        <v>2</v>
      </c>
      <c r="C1211">
        <v>1</v>
      </c>
      <c r="D1211">
        <v>0</v>
      </c>
      <c r="E1211" t="s">
        <v>14</v>
      </c>
      <c r="F1211">
        <v>2</v>
      </c>
      <c r="G1211">
        <v>1</v>
      </c>
      <c r="H1211">
        <v>0</v>
      </c>
    </row>
    <row r="1212" spans="1:8" x14ac:dyDescent="0.3">
      <c r="A1212">
        <v>3</v>
      </c>
      <c r="B1212">
        <v>1</v>
      </c>
      <c r="C1212">
        <v>1</v>
      </c>
      <c r="D1212">
        <v>1</v>
      </c>
      <c r="E1212" t="s">
        <v>14</v>
      </c>
      <c r="F1212">
        <v>0</v>
      </c>
      <c r="G1212">
        <v>2</v>
      </c>
      <c r="H1212">
        <v>1</v>
      </c>
    </row>
    <row r="1213" spans="1:8" x14ac:dyDescent="0.3">
      <c r="A1213">
        <v>3</v>
      </c>
      <c r="B1213">
        <v>1</v>
      </c>
      <c r="C1213">
        <v>1</v>
      </c>
      <c r="D1213">
        <v>1</v>
      </c>
      <c r="E1213" t="s">
        <v>14</v>
      </c>
      <c r="F1213">
        <v>1</v>
      </c>
      <c r="G1213">
        <v>0</v>
      </c>
      <c r="H1213">
        <v>2</v>
      </c>
    </row>
    <row r="1214" spans="1:8" x14ac:dyDescent="0.3">
      <c r="A1214">
        <v>3</v>
      </c>
      <c r="B1214">
        <v>1</v>
      </c>
      <c r="C1214">
        <v>1</v>
      </c>
      <c r="D1214">
        <v>1</v>
      </c>
      <c r="E1214" t="s">
        <v>14</v>
      </c>
      <c r="F1214">
        <v>2</v>
      </c>
      <c r="G1214">
        <v>1</v>
      </c>
      <c r="H1214">
        <v>0</v>
      </c>
    </row>
    <row r="1215" spans="1:8" x14ac:dyDescent="0.3">
      <c r="A1215">
        <v>3</v>
      </c>
      <c r="B1215">
        <v>0</v>
      </c>
      <c r="C1215">
        <v>2</v>
      </c>
      <c r="D1215">
        <v>1</v>
      </c>
      <c r="E1215" t="s">
        <v>14</v>
      </c>
      <c r="F1215">
        <v>0</v>
      </c>
      <c r="G1215">
        <v>2</v>
      </c>
      <c r="H1215">
        <v>1</v>
      </c>
    </row>
    <row r="1216" spans="1:8" x14ac:dyDescent="0.3">
      <c r="A1216">
        <v>3</v>
      </c>
      <c r="B1216">
        <v>1</v>
      </c>
      <c r="C1216">
        <v>1</v>
      </c>
      <c r="D1216">
        <v>1</v>
      </c>
      <c r="E1216" t="s">
        <v>14</v>
      </c>
      <c r="F1216">
        <v>1</v>
      </c>
      <c r="G1216">
        <v>1</v>
      </c>
      <c r="H1216">
        <v>1</v>
      </c>
    </row>
    <row r="1217" spans="1:8" x14ac:dyDescent="0.3">
      <c r="A1217">
        <v>3</v>
      </c>
      <c r="B1217">
        <v>1</v>
      </c>
      <c r="C1217">
        <v>1</v>
      </c>
      <c r="D1217">
        <v>1</v>
      </c>
      <c r="E1217" t="s">
        <v>14</v>
      </c>
      <c r="F1217">
        <v>1</v>
      </c>
      <c r="G1217">
        <v>0</v>
      </c>
      <c r="H1217">
        <v>2</v>
      </c>
    </row>
    <row r="1218" spans="1:8" x14ac:dyDescent="0.3">
      <c r="A1218">
        <v>3</v>
      </c>
      <c r="B1218">
        <v>1</v>
      </c>
      <c r="C1218">
        <v>1</v>
      </c>
      <c r="D1218">
        <v>1</v>
      </c>
      <c r="E1218" t="s">
        <v>14</v>
      </c>
      <c r="F1218">
        <v>2</v>
      </c>
      <c r="G1218">
        <v>1</v>
      </c>
      <c r="H1218">
        <v>0</v>
      </c>
    </row>
    <row r="1219" spans="1:8" x14ac:dyDescent="0.3">
      <c r="A1219">
        <v>3</v>
      </c>
      <c r="B1219">
        <v>1</v>
      </c>
      <c r="C1219">
        <v>1</v>
      </c>
      <c r="D1219">
        <v>1</v>
      </c>
      <c r="E1219" t="s">
        <v>14</v>
      </c>
      <c r="F1219">
        <v>1</v>
      </c>
      <c r="G1219">
        <v>1</v>
      </c>
      <c r="H1219">
        <v>1</v>
      </c>
    </row>
    <row r="1220" spans="1:8" x14ac:dyDescent="0.3">
      <c r="A1220">
        <v>3</v>
      </c>
      <c r="B1220">
        <v>0</v>
      </c>
      <c r="C1220">
        <v>2</v>
      </c>
      <c r="D1220">
        <v>1</v>
      </c>
      <c r="E1220" t="s">
        <v>14</v>
      </c>
      <c r="F1220">
        <v>1</v>
      </c>
      <c r="G1220">
        <v>0</v>
      </c>
      <c r="H1220">
        <v>2</v>
      </c>
    </row>
    <row r="1221" spans="1:8" x14ac:dyDescent="0.3">
      <c r="A1221">
        <v>3</v>
      </c>
      <c r="B1221">
        <v>1</v>
      </c>
      <c r="C1221">
        <v>1</v>
      </c>
      <c r="D1221">
        <v>1</v>
      </c>
      <c r="E1221" t="s">
        <v>14</v>
      </c>
      <c r="F1221">
        <v>0</v>
      </c>
      <c r="G1221">
        <v>2</v>
      </c>
      <c r="H1221">
        <v>1</v>
      </c>
    </row>
    <row r="1222" spans="1:8" x14ac:dyDescent="0.3">
      <c r="A1222">
        <v>3</v>
      </c>
      <c r="B1222">
        <v>1</v>
      </c>
      <c r="C1222">
        <v>1</v>
      </c>
      <c r="D1222">
        <v>1</v>
      </c>
      <c r="E1222" t="s">
        <v>14</v>
      </c>
      <c r="F1222">
        <v>1</v>
      </c>
      <c r="G1222">
        <v>1</v>
      </c>
      <c r="H1222">
        <v>1</v>
      </c>
    </row>
    <row r="1223" spans="1:8" x14ac:dyDescent="0.3">
      <c r="A1223">
        <v>3</v>
      </c>
      <c r="B1223">
        <v>1</v>
      </c>
      <c r="C1223">
        <v>1</v>
      </c>
      <c r="D1223">
        <v>1</v>
      </c>
      <c r="E1223" t="s">
        <v>14</v>
      </c>
      <c r="F1223">
        <v>2</v>
      </c>
      <c r="G1223">
        <v>1</v>
      </c>
      <c r="H1223">
        <v>0</v>
      </c>
    </row>
    <row r="1224" spans="1:8" x14ac:dyDescent="0.3">
      <c r="A1224">
        <v>3</v>
      </c>
      <c r="B1224">
        <v>1</v>
      </c>
      <c r="C1224">
        <v>1</v>
      </c>
      <c r="D1224">
        <v>1</v>
      </c>
      <c r="E1224" t="s">
        <v>14</v>
      </c>
      <c r="F1224">
        <v>0</v>
      </c>
      <c r="G1224">
        <v>2</v>
      </c>
      <c r="H1224">
        <v>1</v>
      </c>
    </row>
    <row r="1225" spans="1:8" x14ac:dyDescent="0.3">
      <c r="A1225">
        <v>3</v>
      </c>
      <c r="B1225">
        <v>1</v>
      </c>
      <c r="C1225">
        <v>1</v>
      </c>
      <c r="D1225">
        <v>1</v>
      </c>
      <c r="E1225" t="s">
        <v>14</v>
      </c>
      <c r="F1225">
        <v>1</v>
      </c>
      <c r="G1225">
        <v>1</v>
      </c>
      <c r="H1225">
        <v>1</v>
      </c>
    </row>
    <row r="1226" spans="1:8" x14ac:dyDescent="0.3">
      <c r="A1226">
        <v>3</v>
      </c>
      <c r="B1226">
        <v>0</v>
      </c>
      <c r="C1226">
        <v>2</v>
      </c>
      <c r="D1226">
        <v>1</v>
      </c>
      <c r="E1226" t="s">
        <v>14</v>
      </c>
      <c r="F1226">
        <v>0</v>
      </c>
      <c r="G1226">
        <v>2</v>
      </c>
      <c r="H1226">
        <v>1</v>
      </c>
    </row>
    <row r="1227" spans="1:8" x14ac:dyDescent="0.3">
      <c r="A1227">
        <v>3</v>
      </c>
      <c r="B1227">
        <v>1</v>
      </c>
      <c r="C1227">
        <v>1</v>
      </c>
      <c r="D1227">
        <v>1</v>
      </c>
      <c r="E1227" t="s">
        <v>14</v>
      </c>
      <c r="F1227">
        <v>0</v>
      </c>
      <c r="G1227">
        <v>2</v>
      </c>
      <c r="H1227">
        <v>1</v>
      </c>
    </row>
    <row r="1228" spans="1:8" x14ac:dyDescent="0.3">
      <c r="A1228">
        <v>3</v>
      </c>
      <c r="B1228">
        <v>1</v>
      </c>
      <c r="C1228">
        <v>1</v>
      </c>
      <c r="D1228">
        <v>1</v>
      </c>
      <c r="E1228" t="s">
        <v>14</v>
      </c>
      <c r="F1228">
        <v>1</v>
      </c>
      <c r="G1228">
        <v>1</v>
      </c>
      <c r="H1228">
        <v>1</v>
      </c>
    </row>
    <row r="1229" spans="1:8" x14ac:dyDescent="0.3">
      <c r="A1229">
        <v>3</v>
      </c>
      <c r="B1229">
        <v>0</v>
      </c>
      <c r="C1229">
        <v>2</v>
      </c>
      <c r="D1229">
        <v>1</v>
      </c>
      <c r="E1229" t="s">
        <v>14</v>
      </c>
      <c r="F1229">
        <v>0</v>
      </c>
      <c r="G1229">
        <v>2</v>
      </c>
      <c r="H1229">
        <v>1</v>
      </c>
    </row>
    <row r="1230" spans="1:8" x14ac:dyDescent="0.3">
      <c r="A1230">
        <v>3</v>
      </c>
      <c r="B1230">
        <v>1</v>
      </c>
      <c r="C1230">
        <v>1</v>
      </c>
      <c r="D1230">
        <v>1</v>
      </c>
      <c r="E1230" t="s">
        <v>14</v>
      </c>
      <c r="F1230">
        <v>1</v>
      </c>
      <c r="G1230">
        <v>1</v>
      </c>
      <c r="H1230">
        <v>1</v>
      </c>
    </row>
    <row r="1231" spans="1:8" x14ac:dyDescent="0.3">
      <c r="A1231">
        <v>3</v>
      </c>
      <c r="B1231">
        <v>1</v>
      </c>
      <c r="C1231">
        <v>1</v>
      </c>
      <c r="D1231">
        <v>1</v>
      </c>
      <c r="E1231" t="s">
        <v>14</v>
      </c>
      <c r="F1231">
        <v>1</v>
      </c>
      <c r="G1231">
        <v>1</v>
      </c>
      <c r="H1231">
        <v>1</v>
      </c>
    </row>
    <row r="1232" spans="1:8" x14ac:dyDescent="0.3">
      <c r="A1232">
        <v>3</v>
      </c>
      <c r="B1232">
        <v>1</v>
      </c>
      <c r="C1232">
        <v>1</v>
      </c>
      <c r="D1232">
        <v>1</v>
      </c>
      <c r="E1232" t="s">
        <v>14</v>
      </c>
      <c r="F1232">
        <v>1</v>
      </c>
      <c r="G1232">
        <v>1</v>
      </c>
      <c r="H1232">
        <v>1</v>
      </c>
    </row>
    <row r="1233" spans="1:8" x14ac:dyDescent="0.3">
      <c r="A1233">
        <v>3</v>
      </c>
      <c r="B1233">
        <v>1</v>
      </c>
      <c r="C1233">
        <v>1</v>
      </c>
      <c r="D1233">
        <v>1</v>
      </c>
      <c r="E1233" t="s">
        <v>14</v>
      </c>
      <c r="F1233">
        <v>1</v>
      </c>
      <c r="G1233">
        <v>1</v>
      </c>
      <c r="H1233">
        <v>1</v>
      </c>
    </row>
    <row r="1234" spans="1:8" x14ac:dyDescent="0.3">
      <c r="A1234">
        <v>3</v>
      </c>
      <c r="B1234">
        <v>1</v>
      </c>
      <c r="C1234">
        <v>1</v>
      </c>
      <c r="D1234">
        <v>1</v>
      </c>
      <c r="E1234" t="s">
        <v>14</v>
      </c>
      <c r="F1234">
        <v>1</v>
      </c>
      <c r="G1234">
        <v>1</v>
      </c>
      <c r="H1234">
        <v>1</v>
      </c>
    </row>
    <row r="1235" spans="1:8" x14ac:dyDescent="0.3">
      <c r="A1235">
        <v>3</v>
      </c>
      <c r="B1235">
        <v>1</v>
      </c>
      <c r="C1235">
        <v>0</v>
      </c>
      <c r="D1235">
        <v>2</v>
      </c>
      <c r="E1235" t="s">
        <v>14</v>
      </c>
      <c r="F1235">
        <v>1</v>
      </c>
      <c r="G1235">
        <v>0</v>
      </c>
      <c r="H1235">
        <v>2</v>
      </c>
    </row>
    <row r="1236" spans="1:8" x14ac:dyDescent="0.3">
      <c r="A1236">
        <v>4</v>
      </c>
      <c r="B1236">
        <v>1</v>
      </c>
      <c r="C1236">
        <v>2</v>
      </c>
      <c r="D1236">
        <v>1</v>
      </c>
      <c r="E1236" t="s">
        <v>14</v>
      </c>
      <c r="F1236">
        <v>2</v>
      </c>
      <c r="G1236">
        <v>0</v>
      </c>
      <c r="H1236">
        <v>2</v>
      </c>
    </row>
    <row r="1237" spans="1:8" x14ac:dyDescent="0.3">
      <c r="A1237">
        <v>4</v>
      </c>
      <c r="B1237">
        <v>1</v>
      </c>
      <c r="C1237">
        <v>1</v>
      </c>
      <c r="D1237">
        <v>2</v>
      </c>
      <c r="E1237" t="s">
        <v>14</v>
      </c>
      <c r="F1237">
        <v>1</v>
      </c>
      <c r="G1237">
        <v>1</v>
      </c>
      <c r="H1237">
        <v>2</v>
      </c>
    </row>
    <row r="1238" spans="1:8" x14ac:dyDescent="0.3">
      <c r="A1238">
        <v>4</v>
      </c>
      <c r="B1238">
        <v>2</v>
      </c>
      <c r="C1238">
        <v>1</v>
      </c>
      <c r="D1238">
        <v>1</v>
      </c>
      <c r="E1238" t="s">
        <v>14</v>
      </c>
      <c r="F1238">
        <v>2</v>
      </c>
      <c r="G1238">
        <v>2</v>
      </c>
      <c r="H1238">
        <v>0</v>
      </c>
    </row>
    <row r="1239" spans="1:8" x14ac:dyDescent="0.3">
      <c r="A1239">
        <v>4</v>
      </c>
      <c r="B1239">
        <v>2</v>
      </c>
      <c r="C1239">
        <v>1</v>
      </c>
      <c r="D1239">
        <v>1</v>
      </c>
      <c r="E1239" t="s">
        <v>14</v>
      </c>
      <c r="F1239">
        <v>2</v>
      </c>
      <c r="G1239">
        <v>1</v>
      </c>
      <c r="H1239">
        <v>1</v>
      </c>
    </row>
    <row r="1240" spans="1:8" x14ac:dyDescent="0.3">
      <c r="A1240">
        <v>4</v>
      </c>
      <c r="B1240">
        <v>1</v>
      </c>
      <c r="C1240">
        <v>2</v>
      </c>
      <c r="D1240">
        <v>1</v>
      </c>
      <c r="E1240" t="s">
        <v>14</v>
      </c>
      <c r="F1240">
        <v>1</v>
      </c>
      <c r="G1240">
        <v>2</v>
      </c>
      <c r="H1240">
        <v>1</v>
      </c>
    </row>
    <row r="1241" spans="1:8" x14ac:dyDescent="0.3">
      <c r="A1241">
        <v>5</v>
      </c>
      <c r="B1241">
        <v>2</v>
      </c>
      <c r="C1241">
        <v>1</v>
      </c>
      <c r="D1241">
        <v>2</v>
      </c>
      <c r="E1241" t="s">
        <v>14</v>
      </c>
      <c r="F1241">
        <v>2</v>
      </c>
      <c r="G1241">
        <v>1</v>
      </c>
      <c r="H1241">
        <v>2</v>
      </c>
    </row>
    <row r="1242" spans="1:8" x14ac:dyDescent="0.3">
      <c r="A1242">
        <v>5</v>
      </c>
      <c r="B1242">
        <v>2</v>
      </c>
      <c r="C1242">
        <v>2</v>
      </c>
      <c r="D1242">
        <v>1</v>
      </c>
      <c r="E1242" t="s">
        <v>14</v>
      </c>
      <c r="F1242">
        <v>2</v>
      </c>
      <c r="G1242">
        <v>2</v>
      </c>
      <c r="H1242">
        <v>1</v>
      </c>
    </row>
    <row r="1243" spans="1:8" x14ac:dyDescent="0.3">
      <c r="A1243">
        <v>5</v>
      </c>
      <c r="B1243">
        <v>2</v>
      </c>
      <c r="C1243">
        <v>1</v>
      </c>
      <c r="D1243">
        <v>2</v>
      </c>
      <c r="E1243" t="s">
        <v>14</v>
      </c>
      <c r="F1243">
        <v>2</v>
      </c>
      <c r="G1243">
        <v>1</v>
      </c>
      <c r="H1243">
        <v>2</v>
      </c>
    </row>
    <row r="1244" spans="1:8" x14ac:dyDescent="0.3">
      <c r="A1244">
        <v>5</v>
      </c>
      <c r="B1244">
        <v>2</v>
      </c>
      <c r="C1244">
        <v>1</v>
      </c>
      <c r="D1244">
        <v>2</v>
      </c>
      <c r="E1244" t="s">
        <v>14</v>
      </c>
      <c r="F1244">
        <v>2</v>
      </c>
      <c r="G1244">
        <v>1</v>
      </c>
      <c r="H1244">
        <v>2</v>
      </c>
    </row>
    <row r="1245" spans="1:8" x14ac:dyDescent="0.3">
      <c r="A1245">
        <v>5</v>
      </c>
      <c r="B1245">
        <v>2</v>
      </c>
      <c r="C1245">
        <v>2</v>
      </c>
      <c r="D1245">
        <v>1</v>
      </c>
      <c r="E1245" t="s">
        <v>14</v>
      </c>
      <c r="F1245">
        <v>3</v>
      </c>
      <c r="G1245">
        <v>0</v>
      </c>
      <c r="H1245">
        <v>2</v>
      </c>
    </row>
    <row r="1246" spans="1:8" x14ac:dyDescent="0.3">
      <c r="A1246">
        <v>5</v>
      </c>
      <c r="B1246">
        <v>2</v>
      </c>
      <c r="C1246">
        <v>1</v>
      </c>
      <c r="D1246">
        <v>2</v>
      </c>
      <c r="E1246" t="s">
        <v>14</v>
      </c>
      <c r="F1246">
        <v>0</v>
      </c>
      <c r="G1246">
        <v>2</v>
      </c>
      <c r="H1246">
        <v>3</v>
      </c>
    </row>
    <row r="1247" spans="1:8" x14ac:dyDescent="0.3">
      <c r="A1247">
        <v>5</v>
      </c>
      <c r="B1247">
        <v>1</v>
      </c>
      <c r="C1247">
        <v>2</v>
      </c>
      <c r="D1247">
        <v>2</v>
      </c>
      <c r="E1247" t="s">
        <v>14</v>
      </c>
      <c r="F1247">
        <v>3</v>
      </c>
      <c r="G1247">
        <v>0</v>
      </c>
      <c r="H1247">
        <v>2</v>
      </c>
    </row>
    <row r="1248" spans="1:8" x14ac:dyDescent="0.3">
      <c r="A1248">
        <v>6</v>
      </c>
      <c r="B1248">
        <v>2</v>
      </c>
      <c r="C1248">
        <v>3</v>
      </c>
      <c r="D1248">
        <v>1</v>
      </c>
      <c r="E1248" t="s">
        <v>14</v>
      </c>
      <c r="F1248">
        <v>2</v>
      </c>
      <c r="G1248">
        <v>3</v>
      </c>
      <c r="H1248">
        <v>1</v>
      </c>
    </row>
    <row r="1249" spans="1:8" x14ac:dyDescent="0.3">
      <c r="A1249">
        <v>6</v>
      </c>
      <c r="B1249">
        <v>2</v>
      </c>
      <c r="C1249">
        <v>2</v>
      </c>
      <c r="D1249">
        <v>2</v>
      </c>
      <c r="E1249" t="s">
        <v>14</v>
      </c>
      <c r="F1249">
        <v>2</v>
      </c>
      <c r="G1249">
        <v>2</v>
      </c>
      <c r="H1249">
        <v>2</v>
      </c>
    </row>
    <row r="1250" spans="1:8" x14ac:dyDescent="0.3">
      <c r="A1250">
        <v>6</v>
      </c>
      <c r="B1250">
        <v>3</v>
      </c>
      <c r="C1250">
        <v>1</v>
      </c>
      <c r="D1250">
        <v>2</v>
      </c>
      <c r="E1250" t="s">
        <v>14</v>
      </c>
      <c r="F1250">
        <v>3</v>
      </c>
      <c r="G1250">
        <v>1</v>
      </c>
      <c r="H1250">
        <v>2</v>
      </c>
    </row>
    <row r="1251" spans="1:8" x14ac:dyDescent="0.3">
      <c r="A1251">
        <v>6</v>
      </c>
      <c r="B1251">
        <v>2</v>
      </c>
      <c r="C1251">
        <v>3</v>
      </c>
      <c r="D1251">
        <v>1</v>
      </c>
      <c r="E1251" t="s">
        <v>14</v>
      </c>
      <c r="F1251">
        <v>2</v>
      </c>
      <c r="G1251">
        <v>3</v>
      </c>
      <c r="H1251">
        <v>1</v>
      </c>
    </row>
    <row r="1252" spans="1:8" x14ac:dyDescent="0.3">
      <c r="A1252">
        <v>6</v>
      </c>
      <c r="B1252">
        <v>1</v>
      </c>
      <c r="C1252">
        <v>2</v>
      </c>
      <c r="D1252">
        <v>3</v>
      </c>
      <c r="E1252" t="s">
        <v>14</v>
      </c>
      <c r="F1252">
        <v>1</v>
      </c>
      <c r="G1252">
        <v>2</v>
      </c>
      <c r="H1252">
        <v>3</v>
      </c>
    </row>
    <row r="1253" spans="1:8" x14ac:dyDescent="0.3">
      <c r="A1253">
        <v>6</v>
      </c>
      <c r="B1253">
        <v>2</v>
      </c>
      <c r="C1253">
        <v>2</v>
      </c>
      <c r="D1253">
        <v>2</v>
      </c>
      <c r="E1253" t="s">
        <v>14</v>
      </c>
      <c r="F1253">
        <v>2</v>
      </c>
      <c r="G1253">
        <v>2</v>
      </c>
      <c r="H1253">
        <v>2</v>
      </c>
    </row>
    <row r="1254" spans="1:8" x14ac:dyDescent="0.3">
      <c r="A1254">
        <v>6</v>
      </c>
      <c r="B1254">
        <v>2</v>
      </c>
      <c r="C1254">
        <v>3</v>
      </c>
      <c r="D1254">
        <v>1</v>
      </c>
      <c r="E1254" t="s">
        <v>14</v>
      </c>
      <c r="F1254">
        <v>2</v>
      </c>
      <c r="G1254">
        <v>3</v>
      </c>
      <c r="H1254">
        <v>1</v>
      </c>
    </row>
    <row r="1255" spans="1:8" x14ac:dyDescent="0.3">
      <c r="A1255">
        <v>7</v>
      </c>
      <c r="B1255">
        <v>2</v>
      </c>
      <c r="C1255">
        <v>2</v>
      </c>
      <c r="D1255">
        <v>3</v>
      </c>
      <c r="E1255" t="s">
        <v>14</v>
      </c>
      <c r="F1255">
        <v>2</v>
      </c>
      <c r="G1255">
        <v>2</v>
      </c>
      <c r="H1255">
        <v>3</v>
      </c>
    </row>
    <row r="1256" spans="1:8" x14ac:dyDescent="0.3">
      <c r="A1256">
        <v>7</v>
      </c>
      <c r="B1256">
        <v>2</v>
      </c>
      <c r="C1256">
        <v>2</v>
      </c>
      <c r="D1256">
        <v>3</v>
      </c>
      <c r="E1256" t="s">
        <v>14</v>
      </c>
      <c r="F1256">
        <v>2</v>
      </c>
      <c r="G1256">
        <v>2</v>
      </c>
      <c r="H1256">
        <v>3</v>
      </c>
    </row>
    <row r="1257" spans="1:8" x14ac:dyDescent="0.3">
      <c r="A1257">
        <v>8</v>
      </c>
      <c r="B1257">
        <v>2</v>
      </c>
      <c r="C1257">
        <v>3</v>
      </c>
      <c r="D1257">
        <v>3</v>
      </c>
      <c r="E1257" t="s">
        <v>14</v>
      </c>
      <c r="F1257">
        <v>2</v>
      </c>
      <c r="G1257">
        <v>3</v>
      </c>
      <c r="H1257">
        <v>3</v>
      </c>
    </row>
    <row r="1258" spans="1:8" x14ac:dyDescent="0.3">
      <c r="A1258">
        <v>8</v>
      </c>
      <c r="B1258">
        <v>3</v>
      </c>
      <c r="C1258">
        <v>3</v>
      </c>
      <c r="D1258">
        <v>2</v>
      </c>
      <c r="E1258" t="s">
        <v>14</v>
      </c>
      <c r="F1258">
        <v>3</v>
      </c>
      <c r="G1258">
        <v>3</v>
      </c>
      <c r="H1258">
        <v>2</v>
      </c>
    </row>
    <row r="1259" spans="1:8" x14ac:dyDescent="0.3">
      <c r="A1259">
        <v>8</v>
      </c>
      <c r="B1259">
        <v>2</v>
      </c>
      <c r="C1259">
        <v>3</v>
      </c>
      <c r="D1259">
        <v>3</v>
      </c>
      <c r="E1259" t="s">
        <v>14</v>
      </c>
      <c r="F1259">
        <v>2</v>
      </c>
      <c r="G1259">
        <v>3</v>
      </c>
      <c r="H1259">
        <v>3</v>
      </c>
    </row>
    <row r="1260" spans="1:8" x14ac:dyDescent="0.3">
      <c r="A1260">
        <v>8</v>
      </c>
      <c r="B1260">
        <v>3</v>
      </c>
      <c r="C1260">
        <v>2</v>
      </c>
      <c r="D1260">
        <v>3</v>
      </c>
      <c r="E1260" t="s">
        <v>14</v>
      </c>
      <c r="F1260">
        <v>3</v>
      </c>
      <c r="G1260">
        <v>2</v>
      </c>
      <c r="H1260">
        <v>3</v>
      </c>
    </row>
    <row r="1261" spans="1:8" x14ac:dyDescent="0.3">
      <c r="A1261">
        <v>2</v>
      </c>
      <c r="B1261">
        <v>1</v>
      </c>
      <c r="C1261">
        <v>0</v>
      </c>
      <c r="D1261">
        <v>1</v>
      </c>
      <c r="E1261" t="s">
        <v>14</v>
      </c>
      <c r="F1261">
        <v>0</v>
      </c>
      <c r="G1261">
        <v>0</v>
      </c>
      <c r="H1261">
        <v>2</v>
      </c>
    </row>
    <row r="1262" spans="1:8" x14ac:dyDescent="0.3">
      <c r="A1262">
        <v>2</v>
      </c>
      <c r="B1262">
        <v>1</v>
      </c>
      <c r="C1262">
        <v>0</v>
      </c>
      <c r="D1262">
        <v>1</v>
      </c>
      <c r="E1262" t="s">
        <v>14</v>
      </c>
      <c r="F1262">
        <v>1</v>
      </c>
      <c r="G1262">
        <v>0</v>
      </c>
      <c r="H1262">
        <v>1</v>
      </c>
    </row>
    <row r="1263" spans="1:8" x14ac:dyDescent="0.3">
      <c r="A1263">
        <v>2</v>
      </c>
      <c r="B1263">
        <v>1</v>
      </c>
      <c r="C1263">
        <v>1</v>
      </c>
      <c r="D1263">
        <v>0</v>
      </c>
      <c r="E1263" t="s">
        <v>14</v>
      </c>
      <c r="F1263">
        <v>1</v>
      </c>
      <c r="G1263">
        <v>1</v>
      </c>
      <c r="H1263">
        <v>0</v>
      </c>
    </row>
    <row r="1264" spans="1:8" x14ac:dyDescent="0.3">
      <c r="A1264">
        <v>2</v>
      </c>
      <c r="B1264">
        <v>1</v>
      </c>
      <c r="C1264">
        <v>0</v>
      </c>
      <c r="D1264">
        <v>1</v>
      </c>
      <c r="E1264" t="s">
        <v>14</v>
      </c>
      <c r="F1264">
        <v>1</v>
      </c>
      <c r="G1264">
        <v>0</v>
      </c>
      <c r="H1264">
        <v>1</v>
      </c>
    </row>
    <row r="1265" spans="1:8" x14ac:dyDescent="0.3">
      <c r="A1265">
        <v>2</v>
      </c>
      <c r="B1265">
        <v>1</v>
      </c>
      <c r="C1265">
        <v>1</v>
      </c>
      <c r="D1265">
        <v>0</v>
      </c>
      <c r="E1265" t="s">
        <v>14</v>
      </c>
      <c r="F1265">
        <v>1</v>
      </c>
      <c r="G1265">
        <v>1</v>
      </c>
      <c r="H1265">
        <v>0</v>
      </c>
    </row>
    <row r="1266" spans="1:8" x14ac:dyDescent="0.3">
      <c r="A1266">
        <v>3</v>
      </c>
      <c r="B1266">
        <v>2</v>
      </c>
      <c r="C1266">
        <v>1</v>
      </c>
      <c r="D1266">
        <v>0</v>
      </c>
      <c r="E1266" t="s">
        <v>14</v>
      </c>
      <c r="F1266">
        <v>2</v>
      </c>
      <c r="G1266">
        <v>1</v>
      </c>
      <c r="H1266">
        <v>0</v>
      </c>
    </row>
    <row r="1267" spans="1:8" x14ac:dyDescent="0.3">
      <c r="A1267">
        <v>3</v>
      </c>
      <c r="B1267">
        <v>1</v>
      </c>
      <c r="C1267">
        <v>0</v>
      </c>
      <c r="D1267">
        <v>2</v>
      </c>
      <c r="E1267" t="s">
        <v>14</v>
      </c>
      <c r="F1267">
        <v>1</v>
      </c>
      <c r="G1267">
        <v>0</v>
      </c>
      <c r="H1267">
        <v>2</v>
      </c>
    </row>
    <row r="1268" spans="1:8" x14ac:dyDescent="0.3">
      <c r="A1268">
        <v>3</v>
      </c>
      <c r="B1268">
        <v>1</v>
      </c>
      <c r="C1268">
        <v>1</v>
      </c>
      <c r="D1268">
        <v>1</v>
      </c>
      <c r="E1268" t="s">
        <v>14</v>
      </c>
      <c r="F1268">
        <v>1</v>
      </c>
      <c r="G1268">
        <v>1</v>
      </c>
      <c r="H1268">
        <v>1</v>
      </c>
    </row>
    <row r="1269" spans="1:8" x14ac:dyDescent="0.3">
      <c r="A1269">
        <v>3</v>
      </c>
      <c r="B1269">
        <v>1</v>
      </c>
      <c r="C1269">
        <v>1</v>
      </c>
      <c r="D1269">
        <v>1</v>
      </c>
      <c r="E1269" t="s">
        <v>14</v>
      </c>
      <c r="F1269">
        <v>2</v>
      </c>
      <c r="G1269">
        <v>1</v>
      </c>
      <c r="H1269">
        <v>0</v>
      </c>
    </row>
    <row r="1270" spans="1:8" x14ac:dyDescent="0.3">
      <c r="A1270">
        <v>3</v>
      </c>
      <c r="B1270">
        <v>1</v>
      </c>
      <c r="C1270">
        <v>1</v>
      </c>
      <c r="D1270">
        <v>1</v>
      </c>
      <c r="E1270" t="s">
        <v>14</v>
      </c>
      <c r="F1270">
        <v>1</v>
      </c>
      <c r="G1270">
        <v>1</v>
      </c>
      <c r="H1270">
        <v>1</v>
      </c>
    </row>
    <row r="1271" spans="1:8" x14ac:dyDescent="0.3">
      <c r="A1271">
        <v>3</v>
      </c>
      <c r="B1271">
        <v>1</v>
      </c>
      <c r="C1271">
        <v>1</v>
      </c>
      <c r="D1271">
        <v>1</v>
      </c>
      <c r="E1271" t="s">
        <v>14</v>
      </c>
      <c r="F1271">
        <v>1</v>
      </c>
      <c r="G1271">
        <v>0</v>
      </c>
      <c r="H1271">
        <v>2</v>
      </c>
    </row>
    <row r="1272" spans="1:8" x14ac:dyDescent="0.3">
      <c r="A1272">
        <v>3</v>
      </c>
      <c r="B1272">
        <v>1</v>
      </c>
      <c r="C1272">
        <v>1</v>
      </c>
      <c r="D1272">
        <v>1</v>
      </c>
      <c r="E1272" t="s">
        <v>14</v>
      </c>
      <c r="F1272">
        <v>2</v>
      </c>
      <c r="G1272">
        <v>1</v>
      </c>
      <c r="H1272">
        <v>0</v>
      </c>
    </row>
    <row r="1273" spans="1:8" x14ac:dyDescent="0.3">
      <c r="A1273">
        <v>3</v>
      </c>
      <c r="B1273">
        <v>1</v>
      </c>
      <c r="C1273">
        <v>0</v>
      </c>
      <c r="D1273">
        <v>2</v>
      </c>
      <c r="E1273" t="s">
        <v>14</v>
      </c>
      <c r="F1273">
        <v>2</v>
      </c>
      <c r="G1273">
        <v>1</v>
      </c>
      <c r="H1273">
        <v>0</v>
      </c>
    </row>
    <row r="1274" spans="1:8" x14ac:dyDescent="0.3">
      <c r="A1274">
        <v>3</v>
      </c>
      <c r="B1274">
        <v>1</v>
      </c>
      <c r="C1274">
        <v>0</v>
      </c>
      <c r="D1274">
        <v>2</v>
      </c>
      <c r="E1274" t="s">
        <v>14</v>
      </c>
      <c r="F1274">
        <v>1</v>
      </c>
      <c r="G1274">
        <v>0</v>
      </c>
      <c r="H1274">
        <v>2</v>
      </c>
    </row>
    <row r="1275" spans="1:8" x14ac:dyDescent="0.3">
      <c r="A1275">
        <v>3</v>
      </c>
      <c r="B1275">
        <v>1</v>
      </c>
      <c r="C1275">
        <v>1</v>
      </c>
      <c r="D1275">
        <v>1</v>
      </c>
      <c r="E1275" t="s">
        <v>14</v>
      </c>
      <c r="F1275">
        <v>1</v>
      </c>
      <c r="G1275">
        <v>1</v>
      </c>
      <c r="H1275">
        <v>1</v>
      </c>
    </row>
    <row r="1276" spans="1:8" x14ac:dyDescent="0.3">
      <c r="A1276">
        <v>3</v>
      </c>
      <c r="B1276">
        <v>1</v>
      </c>
      <c r="C1276">
        <v>1</v>
      </c>
      <c r="D1276">
        <v>1</v>
      </c>
      <c r="E1276" t="s">
        <v>14</v>
      </c>
      <c r="F1276">
        <v>1</v>
      </c>
      <c r="G1276">
        <v>1</v>
      </c>
      <c r="H1276">
        <v>1</v>
      </c>
    </row>
    <row r="1277" spans="1:8" x14ac:dyDescent="0.3">
      <c r="A1277">
        <v>3</v>
      </c>
      <c r="B1277">
        <v>1</v>
      </c>
      <c r="C1277">
        <v>1</v>
      </c>
      <c r="D1277">
        <v>1</v>
      </c>
      <c r="E1277" t="s">
        <v>14</v>
      </c>
      <c r="F1277">
        <v>2</v>
      </c>
      <c r="G1277">
        <v>1</v>
      </c>
      <c r="H1277">
        <v>0</v>
      </c>
    </row>
    <row r="1278" spans="1:8" x14ac:dyDescent="0.3">
      <c r="A1278">
        <v>3</v>
      </c>
      <c r="B1278">
        <v>1</v>
      </c>
      <c r="C1278">
        <v>1</v>
      </c>
      <c r="D1278">
        <v>1</v>
      </c>
      <c r="E1278" t="s">
        <v>14</v>
      </c>
      <c r="F1278">
        <v>1</v>
      </c>
      <c r="G1278">
        <v>0</v>
      </c>
      <c r="H1278">
        <v>2</v>
      </c>
    </row>
    <row r="1279" spans="1:8" x14ac:dyDescent="0.3">
      <c r="A1279">
        <v>3</v>
      </c>
      <c r="B1279">
        <v>2</v>
      </c>
      <c r="C1279">
        <v>1</v>
      </c>
      <c r="D1279">
        <v>0</v>
      </c>
      <c r="E1279" t="s">
        <v>14</v>
      </c>
      <c r="F1279">
        <v>2</v>
      </c>
      <c r="G1279">
        <v>1</v>
      </c>
      <c r="H1279">
        <v>0</v>
      </c>
    </row>
    <row r="1280" spans="1:8" x14ac:dyDescent="0.3">
      <c r="A1280">
        <v>3</v>
      </c>
      <c r="B1280">
        <v>0</v>
      </c>
      <c r="C1280">
        <v>2</v>
      </c>
      <c r="D1280">
        <v>1</v>
      </c>
      <c r="E1280" t="s">
        <v>14</v>
      </c>
      <c r="F1280">
        <v>0</v>
      </c>
      <c r="G1280">
        <v>2</v>
      </c>
      <c r="H1280">
        <v>1</v>
      </c>
    </row>
    <row r="1281" spans="1:8" x14ac:dyDescent="0.3">
      <c r="A1281">
        <v>3</v>
      </c>
      <c r="B1281">
        <v>1</v>
      </c>
      <c r="C1281">
        <v>1</v>
      </c>
      <c r="D1281">
        <v>1</v>
      </c>
      <c r="E1281" t="s">
        <v>14</v>
      </c>
      <c r="F1281">
        <v>0</v>
      </c>
      <c r="G1281">
        <v>2</v>
      </c>
      <c r="H1281">
        <v>1</v>
      </c>
    </row>
    <row r="1282" spans="1:8" x14ac:dyDescent="0.3">
      <c r="A1282">
        <v>3</v>
      </c>
      <c r="B1282">
        <v>2</v>
      </c>
      <c r="C1282">
        <v>1</v>
      </c>
      <c r="D1282">
        <v>0</v>
      </c>
      <c r="E1282" t="s">
        <v>14</v>
      </c>
      <c r="F1282">
        <v>0</v>
      </c>
      <c r="G1282">
        <v>2</v>
      </c>
      <c r="H1282">
        <v>1</v>
      </c>
    </row>
    <row r="1283" spans="1:8" x14ac:dyDescent="0.3">
      <c r="A1283">
        <v>3</v>
      </c>
      <c r="B1283">
        <v>0</v>
      </c>
      <c r="C1283">
        <v>2</v>
      </c>
      <c r="D1283">
        <v>1</v>
      </c>
      <c r="E1283" t="s">
        <v>14</v>
      </c>
      <c r="F1283">
        <v>2</v>
      </c>
      <c r="G1283">
        <v>1</v>
      </c>
      <c r="H1283">
        <v>0</v>
      </c>
    </row>
    <row r="1284" spans="1:8" x14ac:dyDescent="0.3">
      <c r="A1284">
        <v>3</v>
      </c>
      <c r="B1284">
        <v>1</v>
      </c>
      <c r="C1284">
        <v>1</v>
      </c>
      <c r="D1284">
        <v>1</v>
      </c>
      <c r="E1284" t="s">
        <v>14</v>
      </c>
      <c r="F1284">
        <v>2</v>
      </c>
      <c r="G1284">
        <v>1</v>
      </c>
      <c r="H1284">
        <v>0</v>
      </c>
    </row>
    <row r="1285" spans="1:8" x14ac:dyDescent="0.3">
      <c r="A1285">
        <v>3</v>
      </c>
      <c r="B1285">
        <v>0</v>
      </c>
      <c r="C1285">
        <v>2</v>
      </c>
      <c r="D1285">
        <v>1</v>
      </c>
      <c r="E1285" t="s">
        <v>14</v>
      </c>
      <c r="F1285">
        <v>0</v>
      </c>
      <c r="G1285">
        <v>2</v>
      </c>
      <c r="H1285">
        <v>1</v>
      </c>
    </row>
    <row r="1286" spans="1:8" x14ac:dyDescent="0.3">
      <c r="A1286">
        <v>3</v>
      </c>
      <c r="B1286">
        <v>1</v>
      </c>
      <c r="C1286">
        <v>1</v>
      </c>
      <c r="D1286">
        <v>1</v>
      </c>
      <c r="E1286" t="s">
        <v>14</v>
      </c>
      <c r="F1286">
        <v>2</v>
      </c>
      <c r="G1286">
        <v>1</v>
      </c>
      <c r="H1286">
        <v>0</v>
      </c>
    </row>
    <row r="1287" spans="1:8" x14ac:dyDescent="0.3">
      <c r="A1287">
        <v>3</v>
      </c>
      <c r="B1287">
        <v>1</v>
      </c>
      <c r="C1287">
        <v>1</v>
      </c>
      <c r="D1287">
        <v>1</v>
      </c>
      <c r="E1287" t="s">
        <v>14</v>
      </c>
      <c r="F1287">
        <v>1</v>
      </c>
      <c r="G1287">
        <v>1</v>
      </c>
      <c r="H1287">
        <v>1</v>
      </c>
    </row>
    <row r="1288" spans="1:8" x14ac:dyDescent="0.3">
      <c r="A1288">
        <v>3</v>
      </c>
      <c r="B1288">
        <v>0</v>
      </c>
      <c r="C1288">
        <v>2</v>
      </c>
      <c r="D1288">
        <v>1</v>
      </c>
      <c r="E1288" t="s">
        <v>14</v>
      </c>
      <c r="F1288">
        <v>1</v>
      </c>
      <c r="G1288">
        <v>0</v>
      </c>
      <c r="H1288">
        <v>2</v>
      </c>
    </row>
    <row r="1289" spans="1:8" x14ac:dyDescent="0.3">
      <c r="A1289">
        <v>3</v>
      </c>
      <c r="B1289">
        <v>1</v>
      </c>
      <c r="C1289">
        <v>1</v>
      </c>
      <c r="D1289">
        <v>1</v>
      </c>
      <c r="E1289" t="s">
        <v>14</v>
      </c>
      <c r="F1289">
        <v>1</v>
      </c>
      <c r="G1289">
        <v>1</v>
      </c>
      <c r="H1289">
        <v>1</v>
      </c>
    </row>
    <row r="1290" spans="1:8" x14ac:dyDescent="0.3">
      <c r="A1290">
        <v>3</v>
      </c>
      <c r="B1290">
        <v>0</v>
      </c>
      <c r="C1290">
        <v>2</v>
      </c>
      <c r="D1290">
        <v>1</v>
      </c>
      <c r="E1290" t="s">
        <v>14</v>
      </c>
      <c r="F1290">
        <v>0</v>
      </c>
      <c r="G1290">
        <v>2</v>
      </c>
      <c r="H1290">
        <v>1</v>
      </c>
    </row>
    <row r="1291" spans="1:8" x14ac:dyDescent="0.3">
      <c r="A1291">
        <v>3</v>
      </c>
      <c r="B1291">
        <v>2</v>
      </c>
      <c r="C1291">
        <v>1</v>
      </c>
      <c r="D1291">
        <v>0</v>
      </c>
      <c r="E1291" t="s">
        <v>14</v>
      </c>
      <c r="F1291">
        <v>2</v>
      </c>
      <c r="G1291">
        <v>1</v>
      </c>
      <c r="H1291">
        <v>0</v>
      </c>
    </row>
    <row r="1292" spans="1:8" x14ac:dyDescent="0.3">
      <c r="A1292">
        <v>3</v>
      </c>
      <c r="B1292">
        <v>1</v>
      </c>
      <c r="C1292">
        <v>1</v>
      </c>
      <c r="D1292">
        <v>1</v>
      </c>
      <c r="E1292" t="s">
        <v>14</v>
      </c>
      <c r="F1292">
        <v>1</v>
      </c>
      <c r="G1292">
        <v>1</v>
      </c>
      <c r="H1292">
        <v>1</v>
      </c>
    </row>
    <row r="1293" spans="1:8" x14ac:dyDescent="0.3">
      <c r="A1293">
        <v>3</v>
      </c>
      <c r="B1293">
        <v>1</v>
      </c>
      <c r="C1293">
        <v>0</v>
      </c>
      <c r="D1293">
        <v>2</v>
      </c>
      <c r="E1293" t="s">
        <v>14</v>
      </c>
      <c r="F1293">
        <v>1</v>
      </c>
      <c r="G1293">
        <v>0</v>
      </c>
      <c r="H1293">
        <v>2</v>
      </c>
    </row>
    <row r="1294" spans="1:8" x14ac:dyDescent="0.3">
      <c r="A1294">
        <v>3</v>
      </c>
      <c r="B1294">
        <v>1</v>
      </c>
      <c r="C1294">
        <v>1</v>
      </c>
      <c r="D1294">
        <v>1</v>
      </c>
      <c r="E1294" t="s">
        <v>14</v>
      </c>
      <c r="F1294">
        <v>1</v>
      </c>
      <c r="G1294">
        <v>1</v>
      </c>
      <c r="H1294">
        <v>1</v>
      </c>
    </row>
    <row r="1295" spans="1:8" x14ac:dyDescent="0.3">
      <c r="A1295">
        <v>3</v>
      </c>
      <c r="B1295">
        <v>1</v>
      </c>
      <c r="C1295">
        <v>1</v>
      </c>
      <c r="D1295">
        <v>1</v>
      </c>
      <c r="E1295" t="s">
        <v>14</v>
      </c>
      <c r="F1295">
        <v>2</v>
      </c>
      <c r="G1295">
        <v>1</v>
      </c>
      <c r="H1295">
        <v>0</v>
      </c>
    </row>
    <row r="1296" spans="1:8" x14ac:dyDescent="0.3">
      <c r="A1296">
        <v>3</v>
      </c>
      <c r="B1296">
        <v>1</v>
      </c>
      <c r="C1296">
        <v>1</v>
      </c>
      <c r="D1296">
        <v>1</v>
      </c>
      <c r="E1296" t="s">
        <v>14</v>
      </c>
      <c r="F1296">
        <v>2</v>
      </c>
      <c r="G1296">
        <v>1</v>
      </c>
      <c r="H1296">
        <v>0</v>
      </c>
    </row>
    <row r="1297" spans="1:8" x14ac:dyDescent="0.3">
      <c r="A1297">
        <v>3</v>
      </c>
      <c r="B1297">
        <v>1</v>
      </c>
      <c r="C1297">
        <v>1</v>
      </c>
      <c r="D1297">
        <v>1</v>
      </c>
      <c r="E1297" t="s">
        <v>14</v>
      </c>
      <c r="F1297">
        <v>1</v>
      </c>
      <c r="G1297">
        <v>1</v>
      </c>
      <c r="H1297">
        <v>1</v>
      </c>
    </row>
    <row r="1298" spans="1:8" x14ac:dyDescent="0.3">
      <c r="A1298">
        <v>3</v>
      </c>
      <c r="B1298">
        <v>2</v>
      </c>
      <c r="C1298">
        <v>1</v>
      </c>
      <c r="D1298">
        <v>0</v>
      </c>
      <c r="E1298" t="s">
        <v>14</v>
      </c>
      <c r="F1298">
        <v>2</v>
      </c>
      <c r="G1298">
        <v>1</v>
      </c>
      <c r="H1298">
        <v>0</v>
      </c>
    </row>
    <row r="1299" spans="1:8" x14ac:dyDescent="0.3">
      <c r="A1299">
        <v>3</v>
      </c>
      <c r="B1299">
        <v>1</v>
      </c>
      <c r="C1299">
        <v>1</v>
      </c>
      <c r="D1299">
        <v>1</v>
      </c>
      <c r="E1299" t="s">
        <v>14</v>
      </c>
      <c r="F1299">
        <v>2</v>
      </c>
      <c r="G1299">
        <v>1</v>
      </c>
      <c r="H1299">
        <v>0</v>
      </c>
    </row>
    <row r="1300" spans="1:8" x14ac:dyDescent="0.3">
      <c r="A1300">
        <v>3</v>
      </c>
      <c r="B1300">
        <v>1</v>
      </c>
      <c r="C1300">
        <v>1</v>
      </c>
      <c r="D1300">
        <v>1</v>
      </c>
      <c r="E1300" t="s">
        <v>14</v>
      </c>
      <c r="F1300">
        <v>0</v>
      </c>
      <c r="G1300">
        <v>2</v>
      </c>
      <c r="H1300">
        <v>1</v>
      </c>
    </row>
    <row r="1301" spans="1:8" x14ac:dyDescent="0.3">
      <c r="A1301">
        <v>4</v>
      </c>
      <c r="B1301">
        <v>1</v>
      </c>
      <c r="C1301">
        <v>2</v>
      </c>
      <c r="D1301">
        <v>1</v>
      </c>
      <c r="E1301" t="s">
        <v>14</v>
      </c>
      <c r="F1301">
        <v>1</v>
      </c>
      <c r="G1301">
        <v>2</v>
      </c>
      <c r="H1301">
        <v>1</v>
      </c>
    </row>
    <row r="1302" spans="1:8" x14ac:dyDescent="0.3">
      <c r="A1302">
        <v>4</v>
      </c>
      <c r="B1302">
        <v>1</v>
      </c>
      <c r="C1302">
        <v>2</v>
      </c>
      <c r="D1302">
        <v>1</v>
      </c>
      <c r="E1302" t="s">
        <v>14</v>
      </c>
      <c r="F1302">
        <v>2</v>
      </c>
      <c r="G1302">
        <v>0</v>
      </c>
      <c r="H1302">
        <v>2</v>
      </c>
    </row>
    <row r="1303" spans="1:8" x14ac:dyDescent="0.3">
      <c r="A1303">
        <v>4</v>
      </c>
      <c r="B1303">
        <v>2</v>
      </c>
      <c r="C1303">
        <v>1</v>
      </c>
      <c r="D1303">
        <v>1</v>
      </c>
      <c r="E1303" t="s">
        <v>14</v>
      </c>
      <c r="F1303">
        <v>2</v>
      </c>
      <c r="G1303">
        <v>1</v>
      </c>
      <c r="H1303">
        <v>1</v>
      </c>
    </row>
    <row r="1304" spans="1:8" x14ac:dyDescent="0.3">
      <c r="A1304">
        <v>4</v>
      </c>
      <c r="B1304">
        <v>1</v>
      </c>
      <c r="C1304">
        <v>1</v>
      </c>
      <c r="D1304">
        <v>2</v>
      </c>
      <c r="E1304" t="s">
        <v>14</v>
      </c>
      <c r="F1304">
        <v>1</v>
      </c>
      <c r="G1304">
        <v>1</v>
      </c>
      <c r="H1304">
        <v>2</v>
      </c>
    </row>
    <row r="1305" spans="1:8" x14ac:dyDescent="0.3">
      <c r="A1305">
        <v>4</v>
      </c>
      <c r="B1305">
        <v>2</v>
      </c>
      <c r="C1305">
        <v>1</v>
      </c>
      <c r="D1305">
        <v>1</v>
      </c>
      <c r="E1305" t="s">
        <v>14</v>
      </c>
      <c r="F1305">
        <v>0</v>
      </c>
      <c r="G1305">
        <v>2</v>
      </c>
      <c r="H1305">
        <v>2</v>
      </c>
    </row>
    <row r="1306" spans="1:8" x14ac:dyDescent="0.3">
      <c r="A1306">
        <v>4</v>
      </c>
      <c r="B1306">
        <v>2</v>
      </c>
      <c r="C1306">
        <v>1</v>
      </c>
      <c r="D1306">
        <v>1</v>
      </c>
      <c r="E1306" t="s">
        <v>14</v>
      </c>
      <c r="F1306">
        <v>2</v>
      </c>
      <c r="G1306">
        <v>0</v>
      </c>
      <c r="H1306">
        <v>2</v>
      </c>
    </row>
    <row r="1307" spans="1:8" x14ac:dyDescent="0.3">
      <c r="A1307">
        <v>4</v>
      </c>
      <c r="B1307">
        <v>1</v>
      </c>
      <c r="C1307">
        <v>2</v>
      </c>
      <c r="D1307">
        <v>1</v>
      </c>
      <c r="E1307" t="s">
        <v>14</v>
      </c>
      <c r="F1307">
        <v>1</v>
      </c>
      <c r="G1307">
        <v>2</v>
      </c>
      <c r="H1307">
        <v>1</v>
      </c>
    </row>
    <row r="1308" spans="1:8" x14ac:dyDescent="0.3">
      <c r="A1308">
        <v>4</v>
      </c>
      <c r="B1308">
        <v>1</v>
      </c>
      <c r="C1308">
        <v>1</v>
      </c>
      <c r="D1308">
        <v>2</v>
      </c>
      <c r="E1308" t="s">
        <v>14</v>
      </c>
      <c r="F1308">
        <v>1</v>
      </c>
      <c r="G1308">
        <v>1</v>
      </c>
      <c r="H1308">
        <v>2</v>
      </c>
    </row>
    <row r="1309" spans="1:8" x14ac:dyDescent="0.3">
      <c r="A1309">
        <v>4</v>
      </c>
      <c r="B1309">
        <v>1</v>
      </c>
      <c r="C1309">
        <v>1</v>
      </c>
      <c r="D1309">
        <v>2</v>
      </c>
      <c r="E1309" t="s">
        <v>14</v>
      </c>
      <c r="F1309">
        <v>2</v>
      </c>
      <c r="G1309">
        <v>2</v>
      </c>
      <c r="H1309">
        <v>0</v>
      </c>
    </row>
    <row r="1310" spans="1:8" x14ac:dyDescent="0.3">
      <c r="A1310">
        <v>4</v>
      </c>
      <c r="B1310">
        <v>2</v>
      </c>
      <c r="C1310">
        <v>1</v>
      </c>
      <c r="D1310">
        <v>1</v>
      </c>
      <c r="E1310" t="s">
        <v>14</v>
      </c>
      <c r="F1310">
        <v>2</v>
      </c>
      <c r="G1310">
        <v>1</v>
      </c>
      <c r="H1310">
        <v>1</v>
      </c>
    </row>
    <row r="1311" spans="1:8" x14ac:dyDescent="0.3">
      <c r="A1311">
        <v>4</v>
      </c>
      <c r="B1311">
        <v>2</v>
      </c>
      <c r="C1311">
        <v>1</v>
      </c>
      <c r="D1311">
        <v>1</v>
      </c>
      <c r="E1311" t="s">
        <v>14</v>
      </c>
      <c r="F1311">
        <v>2</v>
      </c>
      <c r="G1311">
        <v>2</v>
      </c>
      <c r="H1311">
        <v>0</v>
      </c>
    </row>
    <row r="1312" spans="1:8" x14ac:dyDescent="0.3">
      <c r="A1312">
        <v>5</v>
      </c>
      <c r="B1312">
        <v>2</v>
      </c>
      <c r="C1312">
        <v>2</v>
      </c>
      <c r="D1312">
        <v>1</v>
      </c>
      <c r="E1312" t="s">
        <v>14</v>
      </c>
      <c r="F1312">
        <v>2</v>
      </c>
      <c r="G1312">
        <v>2</v>
      </c>
      <c r="H1312">
        <v>1</v>
      </c>
    </row>
    <row r="1313" spans="1:8" x14ac:dyDescent="0.3">
      <c r="A1313">
        <v>5</v>
      </c>
      <c r="B1313">
        <v>2</v>
      </c>
      <c r="C1313">
        <v>1</v>
      </c>
      <c r="D1313">
        <v>2</v>
      </c>
      <c r="E1313" t="s">
        <v>14</v>
      </c>
      <c r="F1313">
        <v>2</v>
      </c>
      <c r="G1313">
        <v>1</v>
      </c>
      <c r="H1313">
        <v>2</v>
      </c>
    </row>
    <row r="1314" spans="1:8" x14ac:dyDescent="0.3">
      <c r="A1314">
        <v>5</v>
      </c>
      <c r="B1314">
        <v>1</v>
      </c>
      <c r="C1314">
        <v>2</v>
      </c>
      <c r="D1314">
        <v>2</v>
      </c>
      <c r="E1314" t="s">
        <v>14</v>
      </c>
      <c r="F1314">
        <v>0</v>
      </c>
      <c r="G1314">
        <v>2</v>
      </c>
      <c r="H1314">
        <v>3</v>
      </c>
    </row>
    <row r="1315" spans="1:8" x14ac:dyDescent="0.3">
      <c r="A1315">
        <v>5</v>
      </c>
      <c r="B1315">
        <v>2</v>
      </c>
      <c r="C1315">
        <v>2</v>
      </c>
      <c r="D1315">
        <v>1</v>
      </c>
      <c r="E1315" t="s">
        <v>14</v>
      </c>
      <c r="F1315">
        <v>2</v>
      </c>
      <c r="G1315">
        <v>2</v>
      </c>
      <c r="H1315">
        <v>1</v>
      </c>
    </row>
    <row r="1316" spans="1:8" x14ac:dyDescent="0.3">
      <c r="A1316">
        <v>5</v>
      </c>
      <c r="B1316">
        <v>1</v>
      </c>
      <c r="C1316">
        <v>2</v>
      </c>
      <c r="D1316">
        <v>2</v>
      </c>
      <c r="E1316" t="s">
        <v>14</v>
      </c>
      <c r="F1316">
        <v>1</v>
      </c>
      <c r="G1316">
        <v>2</v>
      </c>
      <c r="H1316">
        <v>2</v>
      </c>
    </row>
    <row r="1317" spans="1:8" x14ac:dyDescent="0.3">
      <c r="A1317">
        <v>5</v>
      </c>
      <c r="B1317">
        <v>2</v>
      </c>
      <c r="C1317">
        <v>1</v>
      </c>
      <c r="D1317">
        <v>2</v>
      </c>
      <c r="E1317" t="s">
        <v>14</v>
      </c>
      <c r="F1317">
        <v>3</v>
      </c>
      <c r="G1317">
        <v>0</v>
      </c>
      <c r="H1317">
        <v>2</v>
      </c>
    </row>
    <row r="1318" spans="1:8" x14ac:dyDescent="0.3">
      <c r="A1318">
        <v>5</v>
      </c>
      <c r="B1318">
        <v>2</v>
      </c>
      <c r="C1318">
        <v>2</v>
      </c>
      <c r="D1318">
        <v>1</v>
      </c>
      <c r="E1318" t="s">
        <v>14</v>
      </c>
      <c r="F1318">
        <v>2</v>
      </c>
      <c r="G1318">
        <v>2</v>
      </c>
      <c r="H1318">
        <v>1</v>
      </c>
    </row>
    <row r="1319" spans="1:8" x14ac:dyDescent="0.3">
      <c r="A1319">
        <v>5</v>
      </c>
      <c r="B1319">
        <v>1</v>
      </c>
      <c r="C1319">
        <v>2</v>
      </c>
      <c r="D1319">
        <v>2</v>
      </c>
      <c r="E1319" t="s">
        <v>14</v>
      </c>
      <c r="F1319">
        <v>1</v>
      </c>
      <c r="G1319">
        <v>2</v>
      </c>
      <c r="H1319">
        <v>2</v>
      </c>
    </row>
    <row r="1320" spans="1:8" x14ac:dyDescent="0.3">
      <c r="A1320">
        <v>6</v>
      </c>
      <c r="B1320">
        <v>1</v>
      </c>
      <c r="C1320">
        <v>2</v>
      </c>
      <c r="D1320">
        <v>3</v>
      </c>
      <c r="E1320" t="s">
        <v>14</v>
      </c>
      <c r="F1320">
        <v>1</v>
      </c>
      <c r="G1320">
        <v>2</v>
      </c>
      <c r="H1320">
        <v>3</v>
      </c>
    </row>
    <row r="1321" spans="1:8" x14ac:dyDescent="0.3">
      <c r="A1321">
        <v>6</v>
      </c>
      <c r="B1321">
        <v>2</v>
      </c>
      <c r="C1321">
        <v>3</v>
      </c>
      <c r="D1321">
        <v>1</v>
      </c>
      <c r="E1321" t="s">
        <v>14</v>
      </c>
      <c r="F1321">
        <v>2</v>
      </c>
      <c r="G1321">
        <v>3</v>
      </c>
      <c r="H1321">
        <v>1</v>
      </c>
    </row>
    <row r="1322" spans="1:8" x14ac:dyDescent="0.3">
      <c r="A1322">
        <v>6</v>
      </c>
      <c r="B1322">
        <v>2</v>
      </c>
      <c r="C1322">
        <v>3</v>
      </c>
      <c r="D1322">
        <v>1</v>
      </c>
      <c r="E1322" t="s">
        <v>14</v>
      </c>
      <c r="F1322">
        <v>2</v>
      </c>
      <c r="G1322">
        <v>3</v>
      </c>
      <c r="H1322">
        <v>1</v>
      </c>
    </row>
    <row r="1323" spans="1:8" x14ac:dyDescent="0.3">
      <c r="A1323">
        <v>6</v>
      </c>
      <c r="B1323">
        <v>1</v>
      </c>
      <c r="C1323">
        <v>2</v>
      </c>
      <c r="D1323">
        <v>3</v>
      </c>
      <c r="E1323" t="s">
        <v>14</v>
      </c>
      <c r="F1323">
        <v>1</v>
      </c>
      <c r="G1323">
        <v>2</v>
      </c>
      <c r="H1323">
        <v>3</v>
      </c>
    </row>
    <row r="1324" spans="1:8" x14ac:dyDescent="0.3">
      <c r="A1324">
        <v>6</v>
      </c>
      <c r="B1324">
        <v>2</v>
      </c>
      <c r="C1324">
        <v>2</v>
      </c>
      <c r="D1324">
        <v>2</v>
      </c>
      <c r="E1324" t="s">
        <v>14</v>
      </c>
      <c r="F1324">
        <v>2</v>
      </c>
      <c r="G1324">
        <v>2</v>
      </c>
      <c r="H1324">
        <v>2</v>
      </c>
    </row>
    <row r="1325" spans="1:8" x14ac:dyDescent="0.3">
      <c r="A1325">
        <v>6</v>
      </c>
      <c r="B1325">
        <v>3</v>
      </c>
      <c r="C1325">
        <v>1</v>
      </c>
      <c r="D1325">
        <v>2</v>
      </c>
      <c r="E1325" t="s">
        <v>14</v>
      </c>
      <c r="F1325">
        <v>3</v>
      </c>
      <c r="G1325">
        <v>1</v>
      </c>
      <c r="H1325">
        <v>2</v>
      </c>
    </row>
    <row r="1326" spans="1:8" x14ac:dyDescent="0.3">
      <c r="A1326">
        <v>6</v>
      </c>
      <c r="B1326">
        <v>3</v>
      </c>
      <c r="C1326">
        <v>1</v>
      </c>
      <c r="D1326">
        <v>2</v>
      </c>
      <c r="E1326" t="s">
        <v>14</v>
      </c>
      <c r="F1326">
        <v>3</v>
      </c>
      <c r="G1326">
        <v>1</v>
      </c>
      <c r="H1326">
        <v>2</v>
      </c>
    </row>
    <row r="1327" spans="1:8" x14ac:dyDescent="0.3">
      <c r="A1327">
        <v>7</v>
      </c>
      <c r="B1327">
        <v>2</v>
      </c>
      <c r="C1327">
        <v>2</v>
      </c>
      <c r="D1327">
        <v>3</v>
      </c>
      <c r="E1327" t="s">
        <v>14</v>
      </c>
      <c r="F1327">
        <v>2</v>
      </c>
      <c r="G1327">
        <v>2</v>
      </c>
      <c r="H1327">
        <v>3</v>
      </c>
    </row>
    <row r="1328" spans="1:8" x14ac:dyDescent="0.3">
      <c r="A1328">
        <v>7</v>
      </c>
      <c r="B1328">
        <v>3</v>
      </c>
      <c r="C1328">
        <v>2</v>
      </c>
      <c r="D1328">
        <v>2</v>
      </c>
      <c r="E1328" t="s">
        <v>14</v>
      </c>
      <c r="F1328">
        <v>3</v>
      </c>
      <c r="G1328">
        <v>2</v>
      </c>
      <c r="H1328">
        <v>2</v>
      </c>
    </row>
    <row r="1329" spans="1:8" x14ac:dyDescent="0.3">
      <c r="A1329">
        <v>7</v>
      </c>
      <c r="B1329">
        <v>2</v>
      </c>
      <c r="C1329">
        <v>2</v>
      </c>
      <c r="D1329">
        <v>3</v>
      </c>
      <c r="E1329" t="s">
        <v>14</v>
      </c>
      <c r="F1329">
        <v>2</v>
      </c>
      <c r="G1329">
        <v>2</v>
      </c>
      <c r="H1329">
        <v>3</v>
      </c>
    </row>
    <row r="1330" spans="1:8" x14ac:dyDescent="0.3">
      <c r="A1330">
        <v>8</v>
      </c>
      <c r="B1330">
        <v>2</v>
      </c>
      <c r="C1330">
        <v>3</v>
      </c>
      <c r="D1330">
        <v>3</v>
      </c>
      <c r="E1330" t="s">
        <v>14</v>
      </c>
      <c r="F1330">
        <v>2</v>
      </c>
      <c r="G1330">
        <v>3</v>
      </c>
      <c r="H1330">
        <v>3</v>
      </c>
    </row>
    <row r="1331" spans="1:8" x14ac:dyDescent="0.3">
      <c r="A1331">
        <v>2</v>
      </c>
      <c r="B1331">
        <v>1</v>
      </c>
      <c r="C1331">
        <v>0</v>
      </c>
      <c r="D1331">
        <v>1</v>
      </c>
      <c r="E1331" t="s">
        <v>14</v>
      </c>
      <c r="F1331">
        <v>2</v>
      </c>
      <c r="G1331">
        <v>0</v>
      </c>
      <c r="H1331">
        <v>0</v>
      </c>
    </row>
    <row r="1332" spans="1:8" x14ac:dyDescent="0.3">
      <c r="A1332">
        <v>2</v>
      </c>
      <c r="B1332">
        <v>1</v>
      </c>
      <c r="C1332">
        <v>1</v>
      </c>
      <c r="D1332">
        <v>0</v>
      </c>
      <c r="E1332" t="s">
        <v>14</v>
      </c>
      <c r="F1332">
        <v>0</v>
      </c>
      <c r="G1332">
        <v>0</v>
      </c>
      <c r="H1332">
        <v>2</v>
      </c>
    </row>
    <row r="1333" spans="1:8" x14ac:dyDescent="0.3">
      <c r="A1333">
        <v>2</v>
      </c>
      <c r="B1333">
        <v>1</v>
      </c>
      <c r="C1333">
        <v>1</v>
      </c>
      <c r="D1333">
        <v>0</v>
      </c>
      <c r="E1333" t="s">
        <v>14</v>
      </c>
      <c r="F1333">
        <v>2</v>
      </c>
      <c r="G1333">
        <v>0</v>
      </c>
      <c r="H1333">
        <v>0</v>
      </c>
    </row>
    <row r="1334" spans="1:8" x14ac:dyDescent="0.3">
      <c r="A1334">
        <v>2</v>
      </c>
      <c r="B1334">
        <v>0</v>
      </c>
      <c r="C1334">
        <v>1</v>
      </c>
      <c r="D1334">
        <v>1</v>
      </c>
      <c r="E1334" t="s">
        <v>14</v>
      </c>
      <c r="F1334">
        <v>0</v>
      </c>
      <c r="G1334">
        <v>1</v>
      </c>
      <c r="H1334">
        <v>1</v>
      </c>
    </row>
    <row r="1335" spans="1:8" x14ac:dyDescent="0.3">
      <c r="A1335">
        <v>2</v>
      </c>
      <c r="B1335">
        <v>1</v>
      </c>
      <c r="C1335">
        <v>1</v>
      </c>
      <c r="D1335">
        <v>0</v>
      </c>
      <c r="E1335" t="s">
        <v>14</v>
      </c>
      <c r="F1335">
        <v>1</v>
      </c>
      <c r="G1335">
        <v>1</v>
      </c>
      <c r="H1335">
        <v>0</v>
      </c>
    </row>
    <row r="1336" spans="1:8" x14ac:dyDescent="0.3">
      <c r="A1336">
        <v>2</v>
      </c>
      <c r="B1336">
        <v>1</v>
      </c>
      <c r="C1336">
        <v>0</v>
      </c>
      <c r="D1336">
        <v>1</v>
      </c>
      <c r="E1336" t="s">
        <v>14</v>
      </c>
      <c r="F1336">
        <v>1</v>
      </c>
      <c r="G1336">
        <v>0</v>
      </c>
      <c r="H1336">
        <v>1</v>
      </c>
    </row>
    <row r="1337" spans="1:8" x14ac:dyDescent="0.3">
      <c r="A1337">
        <v>2</v>
      </c>
      <c r="B1337">
        <v>1</v>
      </c>
      <c r="C1337">
        <v>0</v>
      </c>
      <c r="D1337">
        <v>1</v>
      </c>
      <c r="E1337" t="s">
        <v>14</v>
      </c>
      <c r="F1337">
        <v>0</v>
      </c>
      <c r="G1337">
        <v>0</v>
      </c>
      <c r="H1337">
        <v>2</v>
      </c>
    </row>
    <row r="1338" spans="1:8" x14ac:dyDescent="0.3">
      <c r="A1338">
        <v>2</v>
      </c>
      <c r="B1338">
        <v>1</v>
      </c>
      <c r="C1338">
        <v>0</v>
      </c>
      <c r="D1338">
        <v>1</v>
      </c>
      <c r="E1338" t="s">
        <v>14</v>
      </c>
      <c r="F1338">
        <v>0</v>
      </c>
      <c r="G1338">
        <v>0</v>
      </c>
      <c r="H1338">
        <v>2</v>
      </c>
    </row>
    <row r="1339" spans="1:8" x14ac:dyDescent="0.3">
      <c r="A1339">
        <v>2</v>
      </c>
      <c r="B1339">
        <v>1</v>
      </c>
      <c r="C1339">
        <v>1</v>
      </c>
      <c r="D1339">
        <v>0</v>
      </c>
      <c r="E1339" t="s">
        <v>14</v>
      </c>
      <c r="F1339">
        <v>1</v>
      </c>
      <c r="G1339">
        <v>1</v>
      </c>
      <c r="H1339">
        <v>0</v>
      </c>
    </row>
    <row r="1340" spans="1:8" x14ac:dyDescent="0.3">
      <c r="A1340">
        <v>3</v>
      </c>
      <c r="B1340">
        <v>0</v>
      </c>
      <c r="C1340">
        <v>2</v>
      </c>
      <c r="D1340">
        <v>1</v>
      </c>
      <c r="E1340" t="s">
        <v>14</v>
      </c>
      <c r="F1340">
        <v>0</v>
      </c>
      <c r="G1340">
        <v>2</v>
      </c>
      <c r="H1340">
        <v>1</v>
      </c>
    </row>
    <row r="1341" spans="1:8" x14ac:dyDescent="0.3">
      <c r="A1341">
        <v>3</v>
      </c>
      <c r="B1341">
        <v>1</v>
      </c>
      <c r="C1341">
        <v>1</v>
      </c>
      <c r="D1341">
        <v>1</v>
      </c>
      <c r="E1341" t="s">
        <v>14</v>
      </c>
      <c r="F1341">
        <v>2</v>
      </c>
      <c r="G1341">
        <v>1</v>
      </c>
      <c r="H1341">
        <v>0</v>
      </c>
    </row>
    <row r="1342" spans="1:8" x14ac:dyDescent="0.3">
      <c r="A1342">
        <v>3</v>
      </c>
      <c r="B1342">
        <v>1</v>
      </c>
      <c r="C1342">
        <v>0</v>
      </c>
      <c r="D1342">
        <v>2</v>
      </c>
      <c r="E1342" t="s">
        <v>14</v>
      </c>
      <c r="F1342">
        <v>0</v>
      </c>
      <c r="G1342">
        <v>2</v>
      </c>
      <c r="H1342">
        <v>1</v>
      </c>
    </row>
    <row r="1343" spans="1:8" x14ac:dyDescent="0.3">
      <c r="A1343">
        <v>3</v>
      </c>
      <c r="B1343">
        <v>1</v>
      </c>
      <c r="C1343">
        <v>1</v>
      </c>
      <c r="D1343">
        <v>1</v>
      </c>
      <c r="E1343" t="s">
        <v>14</v>
      </c>
      <c r="F1343">
        <v>1</v>
      </c>
      <c r="G1343">
        <v>1</v>
      </c>
      <c r="H1343">
        <v>1</v>
      </c>
    </row>
    <row r="1344" spans="1:8" x14ac:dyDescent="0.3">
      <c r="A1344">
        <v>3</v>
      </c>
      <c r="B1344">
        <v>1</v>
      </c>
      <c r="C1344">
        <v>1</v>
      </c>
      <c r="D1344">
        <v>1</v>
      </c>
      <c r="E1344" t="s">
        <v>14</v>
      </c>
      <c r="F1344">
        <v>2</v>
      </c>
      <c r="G1344">
        <v>1</v>
      </c>
      <c r="H1344">
        <v>0</v>
      </c>
    </row>
    <row r="1345" spans="1:8" x14ac:dyDescent="0.3">
      <c r="A1345">
        <v>3</v>
      </c>
      <c r="B1345">
        <v>0</v>
      </c>
      <c r="C1345">
        <v>2</v>
      </c>
      <c r="D1345">
        <v>1</v>
      </c>
      <c r="E1345" t="s">
        <v>14</v>
      </c>
      <c r="F1345">
        <v>0</v>
      </c>
      <c r="G1345">
        <v>2</v>
      </c>
      <c r="H1345">
        <v>1</v>
      </c>
    </row>
    <row r="1346" spans="1:8" x14ac:dyDescent="0.3">
      <c r="A1346">
        <v>3</v>
      </c>
      <c r="B1346">
        <v>1</v>
      </c>
      <c r="C1346">
        <v>1</v>
      </c>
      <c r="D1346">
        <v>1</v>
      </c>
      <c r="E1346" t="s">
        <v>14</v>
      </c>
      <c r="F1346">
        <v>1</v>
      </c>
      <c r="G1346">
        <v>1</v>
      </c>
      <c r="H1346">
        <v>1</v>
      </c>
    </row>
    <row r="1347" spans="1:8" x14ac:dyDescent="0.3">
      <c r="A1347">
        <v>3</v>
      </c>
      <c r="B1347">
        <v>1</v>
      </c>
      <c r="C1347">
        <v>0</v>
      </c>
      <c r="D1347">
        <v>2</v>
      </c>
      <c r="E1347" t="s">
        <v>14</v>
      </c>
      <c r="F1347">
        <v>2</v>
      </c>
      <c r="G1347">
        <v>1</v>
      </c>
      <c r="H1347">
        <v>0</v>
      </c>
    </row>
    <row r="1348" spans="1:8" x14ac:dyDescent="0.3">
      <c r="A1348">
        <v>3</v>
      </c>
      <c r="B1348">
        <v>1</v>
      </c>
      <c r="C1348">
        <v>0</v>
      </c>
      <c r="D1348">
        <v>2</v>
      </c>
      <c r="E1348" t="s">
        <v>14</v>
      </c>
      <c r="F1348">
        <v>1</v>
      </c>
      <c r="G1348">
        <v>0</v>
      </c>
      <c r="H1348">
        <v>2</v>
      </c>
    </row>
    <row r="1349" spans="1:8" x14ac:dyDescent="0.3">
      <c r="A1349">
        <v>3</v>
      </c>
      <c r="B1349">
        <v>1</v>
      </c>
      <c r="C1349">
        <v>1</v>
      </c>
      <c r="D1349">
        <v>1</v>
      </c>
      <c r="E1349" t="s">
        <v>14</v>
      </c>
      <c r="F1349">
        <v>1</v>
      </c>
      <c r="G1349">
        <v>1</v>
      </c>
      <c r="H1349">
        <v>1</v>
      </c>
    </row>
    <row r="1350" spans="1:8" x14ac:dyDescent="0.3">
      <c r="A1350">
        <v>3</v>
      </c>
      <c r="B1350">
        <v>1</v>
      </c>
      <c r="C1350">
        <v>1</v>
      </c>
      <c r="D1350">
        <v>1</v>
      </c>
      <c r="E1350" t="s">
        <v>14</v>
      </c>
      <c r="F1350">
        <v>1</v>
      </c>
      <c r="G1350">
        <v>1</v>
      </c>
      <c r="H1350">
        <v>1</v>
      </c>
    </row>
    <row r="1351" spans="1:8" x14ac:dyDescent="0.3">
      <c r="A1351">
        <v>3</v>
      </c>
      <c r="B1351">
        <v>1</v>
      </c>
      <c r="C1351">
        <v>1</v>
      </c>
      <c r="D1351">
        <v>1</v>
      </c>
      <c r="E1351" t="s">
        <v>14</v>
      </c>
      <c r="F1351">
        <v>1</v>
      </c>
      <c r="G1351">
        <v>1</v>
      </c>
      <c r="H1351">
        <v>1</v>
      </c>
    </row>
    <row r="1352" spans="1:8" x14ac:dyDescent="0.3">
      <c r="A1352">
        <v>3</v>
      </c>
      <c r="B1352">
        <v>1</v>
      </c>
      <c r="C1352">
        <v>1</v>
      </c>
      <c r="D1352">
        <v>1</v>
      </c>
      <c r="E1352" t="s">
        <v>14</v>
      </c>
      <c r="F1352">
        <v>0</v>
      </c>
      <c r="G1352">
        <v>2</v>
      </c>
      <c r="H1352">
        <v>1</v>
      </c>
    </row>
    <row r="1353" spans="1:8" x14ac:dyDescent="0.3">
      <c r="A1353">
        <v>3</v>
      </c>
      <c r="B1353">
        <v>1</v>
      </c>
      <c r="C1353">
        <v>1</v>
      </c>
      <c r="D1353">
        <v>1</v>
      </c>
      <c r="E1353" t="s">
        <v>14</v>
      </c>
      <c r="F1353">
        <v>0</v>
      </c>
      <c r="G1353">
        <v>2</v>
      </c>
      <c r="H1353">
        <v>1</v>
      </c>
    </row>
    <row r="1354" spans="1:8" x14ac:dyDescent="0.3">
      <c r="A1354">
        <v>3</v>
      </c>
      <c r="B1354">
        <v>1</v>
      </c>
      <c r="C1354">
        <v>0</v>
      </c>
      <c r="D1354">
        <v>2</v>
      </c>
      <c r="E1354" t="s">
        <v>14</v>
      </c>
      <c r="F1354">
        <v>0</v>
      </c>
      <c r="G1354">
        <v>2</v>
      </c>
      <c r="H1354">
        <v>1</v>
      </c>
    </row>
    <row r="1355" spans="1:8" x14ac:dyDescent="0.3">
      <c r="A1355">
        <v>3</v>
      </c>
      <c r="B1355">
        <v>1</v>
      </c>
      <c r="C1355">
        <v>1</v>
      </c>
      <c r="D1355">
        <v>1</v>
      </c>
      <c r="E1355" t="s">
        <v>14</v>
      </c>
      <c r="F1355">
        <v>1</v>
      </c>
      <c r="G1355">
        <v>0</v>
      </c>
      <c r="H1355">
        <v>2</v>
      </c>
    </row>
    <row r="1356" spans="1:8" x14ac:dyDescent="0.3">
      <c r="A1356">
        <v>3</v>
      </c>
      <c r="B1356">
        <v>1</v>
      </c>
      <c r="C1356">
        <v>1</v>
      </c>
      <c r="D1356">
        <v>1</v>
      </c>
      <c r="E1356" t="s">
        <v>14</v>
      </c>
      <c r="F1356">
        <v>2</v>
      </c>
      <c r="G1356">
        <v>1</v>
      </c>
      <c r="H1356">
        <v>0</v>
      </c>
    </row>
    <row r="1357" spans="1:8" x14ac:dyDescent="0.3">
      <c r="A1357">
        <v>3</v>
      </c>
      <c r="B1357">
        <v>1</v>
      </c>
      <c r="C1357">
        <v>1</v>
      </c>
      <c r="D1357">
        <v>1</v>
      </c>
      <c r="E1357" t="s">
        <v>14</v>
      </c>
      <c r="F1357">
        <v>1</v>
      </c>
      <c r="G1357">
        <v>0</v>
      </c>
      <c r="H1357">
        <v>2</v>
      </c>
    </row>
    <row r="1358" spans="1:8" x14ac:dyDescent="0.3">
      <c r="A1358">
        <v>3</v>
      </c>
      <c r="B1358">
        <v>1</v>
      </c>
      <c r="C1358">
        <v>1</v>
      </c>
      <c r="D1358">
        <v>1</v>
      </c>
      <c r="E1358" t="s">
        <v>14</v>
      </c>
      <c r="F1358">
        <v>2</v>
      </c>
      <c r="G1358">
        <v>1</v>
      </c>
      <c r="H1358">
        <v>0</v>
      </c>
    </row>
    <row r="1359" spans="1:8" x14ac:dyDescent="0.3">
      <c r="A1359">
        <v>3</v>
      </c>
      <c r="B1359">
        <v>0</v>
      </c>
      <c r="C1359">
        <v>2</v>
      </c>
      <c r="D1359">
        <v>1</v>
      </c>
      <c r="E1359" t="s">
        <v>14</v>
      </c>
      <c r="F1359">
        <v>0</v>
      </c>
      <c r="G1359">
        <v>2</v>
      </c>
      <c r="H1359">
        <v>1</v>
      </c>
    </row>
    <row r="1360" spans="1:8" x14ac:dyDescent="0.3">
      <c r="A1360">
        <v>3</v>
      </c>
      <c r="B1360">
        <v>1</v>
      </c>
      <c r="C1360">
        <v>1</v>
      </c>
      <c r="D1360">
        <v>1</v>
      </c>
      <c r="E1360" t="s">
        <v>14</v>
      </c>
      <c r="F1360">
        <v>1</v>
      </c>
      <c r="G1360">
        <v>1</v>
      </c>
      <c r="H1360">
        <v>1</v>
      </c>
    </row>
    <row r="1361" spans="1:8" x14ac:dyDescent="0.3">
      <c r="A1361">
        <v>3</v>
      </c>
      <c r="B1361">
        <v>1</v>
      </c>
      <c r="C1361">
        <v>1</v>
      </c>
      <c r="D1361">
        <v>1</v>
      </c>
      <c r="E1361" t="s">
        <v>14</v>
      </c>
      <c r="F1361">
        <v>0</v>
      </c>
      <c r="G1361">
        <v>2</v>
      </c>
      <c r="H1361">
        <v>1</v>
      </c>
    </row>
    <row r="1362" spans="1:8" x14ac:dyDescent="0.3">
      <c r="A1362">
        <v>3</v>
      </c>
      <c r="B1362">
        <v>1</v>
      </c>
      <c r="C1362">
        <v>1</v>
      </c>
      <c r="D1362">
        <v>1</v>
      </c>
      <c r="E1362" t="s">
        <v>14</v>
      </c>
      <c r="F1362">
        <v>1</v>
      </c>
      <c r="G1362">
        <v>1</v>
      </c>
      <c r="H1362">
        <v>1</v>
      </c>
    </row>
    <row r="1363" spans="1:8" x14ac:dyDescent="0.3">
      <c r="A1363">
        <v>3</v>
      </c>
      <c r="B1363">
        <v>1</v>
      </c>
      <c r="C1363">
        <v>0</v>
      </c>
      <c r="D1363">
        <v>2</v>
      </c>
      <c r="E1363" t="s">
        <v>14</v>
      </c>
      <c r="F1363">
        <v>0</v>
      </c>
      <c r="G1363">
        <v>2</v>
      </c>
      <c r="H1363">
        <v>1</v>
      </c>
    </row>
    <row r="1364" spans="1:8" x14ac:dyDescent="0.3">
      <c r="A1364">
        <v>3</v>
      </c>
      <c r="B1364">
        <v>1</v>
      </c>
      <c r="C1364">
        <v>1</v>
      </c>
      <c r="D1364">
        <v>1</v>
      </c>
      <c r="E1364" t="s">
        <v>14</v>
      </c>
      <c r="F1364">
        <v>1</v>
      </c>
      <c r="G1364">
        <v>0</v>
      </c>
      <c r="H1364">
        <v>2</v>
      </c>
    </row>
    <row r="1365" spans="1:8" x14ac:dyDescent="0.3">
      <c r="A1365">
        <v>3</v>
      </c>
      <c r="B1365">
        <v>1</v>
      </c>
      <c r="C1365">
        <v>1</v>
      </c>
      <c r="D1365">
        <v>1</v>
      </c>
      <c r="E1365" t="s">
        <v>14</v>
      </c>
      <c r="F1365">
        <v>1</v>
      </c>
      <c r="G1365">
        <v>0</v>
      </c>
      <c r="H1365">
        <v>2</v>
      </c>
    </row>
    <row r="1366" spans="1:8" x14ac:dyDescent="0.3">
      <c r="A1366">
        <v>3</v>
      </c>
      <c r="B1366">
        <v>1</v>
      </c>
      <c r="C1366">
        <v>1</v>
      </c>
      <c r="D1366">
        <v>1</v>
      </c>
      <c r="E1366" t="s">
        <v>14</v>
      </c>
      <c r="F1366">
        <v>1</v>
      </c>
      <c r="G1366">
        <v>1</v>
      </c>
      <c r="H1366">
        <v>1</v>
      </c>
    </row>
    <row r="1367" spans="1:8" x14ac:dyDescent="0.3">
      <c r="A1367">
        <v>3</v>
      </c>
      <c r="B1367">
        <v>1</v>
      </c>
      <c r="C1367">
        <v>1</v>
      </c>
      <c r="D1367">
        <v>1</v>
      </c>
      <c r="E1367" t="s">
        <v>14</v>
      </c>
      <c r="F1367">
        <v>1</v>
      </c>
      <c r="G1367">
        <v>1</v>
      </c>
      <c r="H1367">
        <v>1</v>
      </c>
    </row>
    <row r="1368" spans="1:8" x14ac:dyDescent="0.3">
      <c r="A1368">
        <v>3</v>
      </c>
      <c r="B1368">
        <v>2</v>
      </c>
      <c r="C1368">
        <v>1</v>
      </c>
      <c r="D1368">
        <v>0</v>
      </c>
      <c r="E1368" t="s">
        <v>14</v>
      </c>
      <c r="F1368">
        <v>2</v>
      </c>
      <c r="G1368">
        <v>1</v>
      </c>
      <c r="H1368">
        <v>0</v>
      </c>
    </row>
    <row r="1369" spans="1:8" x14ac:dyDescent="0.3">
      <c r="A1369">
        <v>3</v>
      </c>
      <c r="B1369">
        <v>1</v>
      </c>
      <c r="C1369">
        <v>1</v>
      </c>
      <c r="D1369">
        <v>1</v>
      </c>
      <c r="E1369" t="s">
        <v>14</v>
      </c>
      <c r="F1369">
        <v>1</v>
      </c>
      <c r="G1369">
        <v>1</v>
      </c>
      <c r="H1369">
        <v>1</v>
      </c>
    </row>
    <row r="1370" spans="1:8" x14ac:dyDescent="0.3">
      <c r="A1370">
        <v>3</v>
      </c>
      <c r="B1370">
        <v>1</v>
      </c>
      <c r="C1370">
        <v>1</v>
      </c>
      <c r="D1370">
        <v>1</v>
      </c>
      <c r="E1370" t="s">
        <v>14</v>
      </c>
      <c r="F1370">
        <v>1</v>
      </c>
      <c r="G1370">
        <v>1</v>
      </c>
      <c r="H1370">
        <v>1</v>
      </c>
    </row>
    <row r="1371" spans="1:8" x14ac:dyDescent="0.3">
      <c r="A1371">
        <v>3</v>
      </c>
      <c r="B1371">
        <v>1</v>
      </c>
      <c r="C1371">
        <v>1</v>
      </c>
      <c r="D1371">
        <v>1</v>
      </c>
      <c r="E1371" t="s">
        <v>14</v>
      </c>
      <c r="F1371">
        <v>1</v>
      </c>
      <c r="G1371">
        <v>1</v>
      </c>
      <c r="H1371">
        <v>1</v>
      </c>
    </row>
    <row r="1372" spans="1:8" x14ac:dyDescent="0.3">
      <c r="A1372">
        <v>3</v>
      </c>
      <c r="B1372">
        <v>1</v>
      </c>
      <c r="C1372">
        <v>1</v>
      </c>
      <c r="D1372">
        <v>1</v>
      </c>
      <c r="E1372" t="s">
        <v>14</v>
      </c>
      <c r="F1372">
        <v>1</v>
      </c>
      <c r="G1372">
        <v>1</v>
      </c>
      <c r="H1372">
        <v>1</v>
      </c>
    </row>
    <row r="1373" spans="1:8" x14ac:dyDescent="0.3">
      <c r="A1373">
        <v>3</v>
      </c>
      <c r="B1373">
        <v>0</v>
      </c>
      <c r="C1373">
        <v>2</v>
      </c>
      <c r="D1373">
        <v>1</v>
      </c>
      <c r="E1373" t="s">
        <v>14</v>
      </c>
      <c r="F1373">
        <v>0</v>
      </c>
      <c r="G1373">
        <v>2</v>
      </c>
      <c r="H1373">
        <v>1</v>
      </c>
    </row>
    <row r="1374" spans="1:8" x14ac:dyDescent="0.3">
      <c r="A1374">
        <v>3</v>
      </c>
      <c r="B1374">
        <v>1</v>
      </c>
      <c r="C1374">
        <v>1</v>
      </c>
      <c r="D1374">
        <v>1</v>
      </c>
      <c r="E1374" t="s">
        <v>14</v>
      </c>
      <c r="F1374">
        <v>1</v>
      </c>
      <c r="G1374">
        <v>0</v>
      </c>
      <c r="H1374">
        <v>2</v>
      </c>
    </row>
    <row r="1375" spans="1:8" x14ac:dyDescent="0.3">
      <c r="A1375">
        <v>3</v>
      </c>
      <c r="B1375">
        <v>2</v>
      </c>
      <c r="C1375">
        <v>1</v>
      </c>
      <c r="D1375">
        <v>0</v>
      </c>
      <c r="E1375" t="s">
        <v>14</v>
      </c>
      <c r="F1375">
        <v>0</v>
      </c>
      <c r="G1375">
        <v>2</v>
      </c>
      <c r="H1375">
        <v>1</v>
      </c>
    </row>
    <row r="1376" spans="1:8" x14ac:dyDescent="0.3">
      <c r="A1376">
        <v>3</v>
      </c>
      <c r="B1376">
        <v>2</v>
      </c>
      <c r="C1376">
        <v>1</v>
      </c>
      <c r="D1376">
        <v>0</v>
      </c>
      <c r="E1376" t="s">
        <v>14</v>
      </c>
      <c r="F1376">
        <v>1</v>
      </c>
      <c r="G1376">
        <v>0</v>
      </c>
      <c r="H1376">
        <v>2</v>
      </c>
    </row>
    <row r="1377" spans="1:8" x14ac:dyDescent="0.3">
      <c r="A1377">
        <v>3</v>
      </c>
      <c r="B1377">
        <v>1</v>
      </c>
      <c r="C1377">
        <v>1</v>
      </c>
      <c r="D1377">
        <v>1</v>
      </c>
      <c r="E1377" t="s">
        <v>14</v>
      </c>
      <c r="F1377">
        <v>2</v>
      </c>
      <c r="G1377">
        <v>1</v>
      </c>
      <c r="H1377">
        <v>0</v>
      </c>
    </row>
    <row r="1378" spans="1:8" x14ac:dyDescent="0.3">
      <c r="A1378">
        <v>4</v>
      </c>
      <c r="B1378">
        <v>2</v>
      </c>
      <c r="C1378">
        <v>1</v>
      </c>
      <c r="D1378">
        <v>1</v>
      </c>
      <c r="E1378" t="s">
        <v>14</v>
      </c>
      <c r="F1378">
        <v>2</v>
      </c>
      <c r="G1378">
        <v>1</v>
      </c>
      <c r="H1378">
        <v>1</v>
      </c>
    </row>
    <row r="1379" spans="1:8" x14ac:dyDescent="0.3">
      <c r="A1379">
        <v>4</v>
      </c>
      <c r="B1379">
        <v>1</v>
      </c>
      <c r="C1379">
        <v>1</v>
      </c>
      <c r="D1379">
        <v>2</v>
      </c>
      <c r="E1379" t="s">
        <v>14</v>
      </c>
      <c r="F1379">
        <v>0</v>
      </c>
      <c r="G1379">
        <v>2</v>
      </c>
      <c r="H1379">
        <v>2</v>
      </c>
    </row>
    <row r="1380" spans="1:8" x14ac:dyDescent="0.3">
      <c r="A1380">
        <v>4</v>
      </c>
      <c r="B1380">
        <v>1</v>
      </c>
      <c r="C1380">
        <v>2</v>
      </c>
      <c r="D1380">
        <v>1</v>
      </c>
      <c r="E1380" t="s">
        <v>14</v>
      </c>
      <c r="F1380">
        <v>1</v>
      </c>
      <c r="G1380">
        <v>2</v>
      </c>
      <c r="H1380">
        <v>1</v>
      </c>
    </row>
    <row r="1381" spans="1:8" x14ac:dyDescent="0.3">
      <c r="A1381">
        <v>4</v>
      </c>
      <c r="B1381">
        <v>1</v>
      </c>
      <c r="C1381">
        <v>1</v>
      </c>
      <c r="D1381">
        <v>2</v>
      </c>
      <c r="E1381" t="s">
        <v>14</v>
      </c>
      <c r="F1381">
        <v>1</v>
      </c>
      <c r="G1381">
        <v>1</v>
      </c>
      <c r="H1381">
        <v>2</v>
      </c>
    </row>
    <row r="1382" spans="1:8" x14ac:dyDescent="0.3">
      <c r="A1382">
        <v>4</v>
      </c>
      <c r="B1382">
        <v>2</v>
      </c>
      <c r="C1382">
        <v>1</v>
      </c>
      <c r="D1382">
        <v>1</v>
      </c>
      <c r="E1382" t="s">
        <v>14</v>
      </c>
      <c r="F1382">
        <v>2</v>
      </c>
      <c r="G1382">
        <v>1</v>
      </c>
      <c r="H1382">
        <v>1</v>
      </c>
    </row>
    <row r="1383" spans="1:8" x14ac:dyDescent="0.3">
      <c r="A1383">
        <v>4</v>
      </c>
      <c r="B1383">
        <v>1</v>
      </c>
      <c r="C1383">
        <v>1</v>
      </c>
      <c r="D1383">
        <v>2</v>
      </c>
      <c r="E1383" t="s">
        <v>14</v>
      </c>
      <c r="F1383">
        <v>1</v>
      </c>
      <c r="G1383">
        <v>1</v>
      </c>
      <c r="H1383">
        <v>2</v>
      </c>
    </row>
    <row r="1384" spans="1:8" x14ac:dyDescent="0.3">
      <c r="A1384">
        <v>4</v>
      </c>
      <c r="B1384">
        <v>2</v>
      </c>
      <c r="C1384">
        <v>1</v>
      </c>
      <c r="D1384">
        <v>1</v>
      </c>
      <c r="E1384" t="s">
        <v>14</v>
      </c>
      <c r="F1384">
        <v>2</v>
      </c>
      <c r="G1384">
        <v>2</v>
      </c>
      <c r="H1384">
        <v>0</v>
      </c>
    </row>
    <row r="1385" spans="1:8" x14ac:dyDescent="0.3">
      <c r="A1385">
        <v>4</v>
      </c>
      <c r="B1385">
        <v>1</v>
      </c>
      <c r="C1385">
        <v>1</v>
      </c>
      <c r="D1385">
        <v>2</v>
      </c>
      <c r="E1385" t="s">
        <v>14</v>
      </c>
      <c r="F1385">
        <v>1</v>
      </c>
      <c r="G1385">
        <v>1</v>
      </c>
      <c r="H1385">
        <v>2</v>
      </c>
    </row>
    <row r="1386" spans="1:8" x14ac:dyDescent="0.3">
      <c r="A1386">
        <v>5</v>
      </c>
      <c r="B1386">
        <v>1</v>
      </c>
      <c r="C1386">
        <v>2</v>
      </c>
      <c r="D1386">
        <v>2</v>
      </c>
      <c r="E1386" t="s">
        <v>14</v>
      </c>
      <c r="F1386">
        <v>1</v>
      </c>
      <c r="G1386">
        <v>2</v>
      </c>
      <c r="H1386">
        <v>2</v>
      </c>
    </row>
    <row r="1387" spans="1:8" x14ac:dyDescent="0.3">
      <c r="A1387">
        <v>5</v>
      </c>
      <c r="B1387">
        <v>2</v>
      </c>
      <c r="C1387">
        <v>1</v>
      </c>
      <c r="D1387">
        <v>2</v>
      </c>
      <c r="E1387" t="s">
        <v>14</v>
      </c>
      <c r="F1387">
        <v>2</v>
      </c>
      <c r="G1387">
        <v>1</v>
      </c>
      <c r="H1387">
        <v>2</v>
      </c>
    </row>
    <row r="1388" spans="1:8" x14ac:dyDescent="0.3">
      <c r="A1388">
        <v>5</v>
      </c>
      <c r="B1388">
        <v>1</v>
      </c>
      <c r="C1388">
        <v>2</v>
      </c>
      <c r="D1388">
        <v>2</v>
      </c>
      <c r="E1388" t="s">
        <v>14</v>
      </c>
      <c r="F1388">
        <v>3</v>
      </c>
      <c r="G1388">
        <v>0</v>
      </c>
      <c r="H1388">
        <v>2</v>
      </c>
    </row>
    <row r="1389" spans="1:8" x14ac:dyDescent="0.3">
      <c r="A1389">
        <v>5</v>
      </c>
      <c r="B1389">
        <v>2</v>
      </c>
      <c r="C1389">
        <v>1</v>
      </c>
      <c r="D1389">
        <v>2</v>
      </c>
      <c r="E1389" t="s">
        <v>14</v>
      </c>
      <c r="F1389">
        <v>2</v>
      </c>
      <c r="G1389">
        <v>1</v>
      </c>
      <c r="H1389">
        <v>2</v>
      </c>
    </row>
    <row r="1390" spans="1:8" x14ac:dyDescent="0.3">
      <c r="A1390">
        <v>5</v>
      </c>
      <c r="B1390">
        <v>1</v>
      </c>
      <c r="C1390">
        <v>2</v>
      </c>
      <c r="D1390">
        <v>2</v>
      </c>
      <c r="E1390" t="s">
        <v>14</v>
      </c>
      <c r="F1390">
        <v>3</v>
      </c>
      <c r="G1390">
        <v>0</v>
      </c>
      <c r="H1390">
        <v>2</v>
      </c>
    </row>
    <row r="1391" spans="1:8" x14ac:dyDescent="0.3">
      <c r="A1391">
        <v>5</v>
      </c>
      <c r="B1391">
        <v>2</v>
      </c>
      <c r="C1391">
        <v>1</v>
      </c>
      <c r="D1391">
        <v>2</v>
      </c>
      <c r="E1391" t="s">
        <v>14</v>
      </c>
      <c r="F1391">
        <v>2</v>
      </c>
      <c r="G1391">
        <v>1</v>
      </c>
      <c r="H1391">
        <v>2</v>
      </c>
    </row>
    <row r="1392" spans="1:8" x14ac:dyDescent="0.3">
      <c r="A1392">
        <v>6</v>
      </c>
      <c r="B1392">
        <v>3</v>
      </c>
      <c r="C1392">
        <v>1</v>
      </c>
      <c r="D1392">
        <v>2</v>
      </c>
      <c r="E1392" t="s">
        <v>14</v>
      </c>
      <c r="F1392">
        <v>3</v>
      </c>
      <c r="G1392">
        <v>1</v>
      </c>
      <c r="H1392">
        <v>2</v>
      </c>
    </row>
    <row r="1393" spans="1:8" x14ac:dyDescent="0.3">
      <c r="A1393">
        <v>6</v>
      </c>
      <c r="B1393">
        <v>2</v>
      </c>
      <c r="C1393">
        <v>2</v>
      </c>
      <c r="D1393">
        <v>2</v>
      </c>
      <c r="E1393" t="s">
        <v>14</v>
      </c>
      <c r="F1393">
        <v>2</v>
      </c>
      <c r="G1393">
        <v>2</v>
      </c>
      <c r="H1393">
        <v>2</v>
      </c>
    </row>
    <row r="1394" spans="1:8" x14ac:dyDescent="0.3">
      <c r="A1394">
        <v>6</v>
      </c>
      <c r="B1394">
        <v>2</v>
      </c>
      <c r="C1394">
        <v>2</v>
      </c>
      <c r="D1394">
        <v>2</v>
      </c>
      <c r="E1394" t="s">
        <v>14</v>
      </c>
      <c r="F1394">
        <v>2</v>
      </c>
      <c r="G1394">
        <v>2</v>
      </c>
      <c r="H1394">
        <v>2</v>
      </c>
    </row>
    <row r="1395" spans="1:8" x14ac:dyDescent="0.3">
      <c r="A1395">
        <v>6</v>
      </c>
      <c r="B1395">
        <v>2</v>
      </c>
      <c r="C1395">
        <v>2</v>
      </c>
      <c r="D1395">
        <v>2</v>
      </c>
      <c r="E1395" t="s">
        <v>14</v>
      </c>
      <c r="F1395">
        <v>2</v>
      </c>
      <c r="G1395">
        <v>2</v>
      </c>
      <c r="H1395">
        <v>2</v>
      </c>
    </row>
    <row r="1396" spans="1:8" x14ac:dyDescent="0.3">
      <c r="A1396">
        <v>6</v>
      </c>
      <c r="B1396">
        <v>2</v>
      </c>
      <c r="C1396">
        <v>2</v>
      </c>
      <c r="D1396">
        <v>2</v>
      </c>
      <c r="E1396" t="s">
        <v>14</v>
      </c>
      <c r="F1396">
        <v>2</v>
      </c>
      <c r="G1396">
        <v>2</v>
      </c>
      <c r="H1396">
        <v>2</v>
      </c>
    </row>
    <row r="1397" spans="1:8" x14ac:dyDescent="0.3">
      <c r="A1397">
        <v>6</v>
      </c>
      <c r="B1397">
        <v>2</v>
      </c>
      <c r="C1397">
        <v>2</v>
      </c>
      <c r="D1397">
        <v>2</v>
      </c>
      <c r="E1397" t="s">
        <v>14</v>
      </c>
      <c r="F1397">
        <v>2</v>
      </c>
      <c r="G1397">
        <v>2</v>
      </c>
      <c r="H1397">
        <v>2</v>
      </c>
    </row>
    <row r="1398" spans="1:8" x14ac:dyDescent="0.3">
      <c r="A1398">
        <v>6</v>
      </c>
      <c r="B1398">
        <v>2</v>
      </c>
      <c r="C1398">
        <v>3</v>
      </c>
      <c r="D1398">
        <v>1</v>
      </c>
      <c r="E1398" t="s">
        <v>14</v>
      </c>
      <c r="F1398">
        <v>2</v>
      </c>
      <c r="G1398">
        <v>3</v>
      </c>
      <c r="H1398">
        <v>1</v>
      </c>
    </row>
    <row r="1399" spans="1:8" x14ac:dyDescent="0.3">
      <c r="A1399">
        <v>7</v>
      </c>
      <c r="B1399">
        <v>2</v>
      </c>
      <c r="C1399">
        <v>3</v>
      </c>
      <c r="D1399">
        <v>2</v>
      </c>
      <c r="E1399" t="s">
        <v>14</v>
      </c>
      <c r="F1399">
        <v>2</v>
      </c>
      <c r="G1399">
        <v>3</v>
      </c>
      <c r="H1399">
        <v>2</v>
      </c>
    </row>
    <row r="1400" spans="1:8" x14ac:dyDescent="0.3">
      <c r="A1400">
        <v>7</v>
      </c>
      <c r="B1400">
        <v>2</v>
      </c>
      <c r="C1400">
        <v>3</v>
      </c>
      <c r="D1400">
        <v>2</v>
      </c>
      <c r="E1400" t="s">
        <v>14</v>
      </c>
      <c r="F1400">
        <v>2</v>
      </c>
      <c r="G1400">
        <v>3</v>
      </c>
      <c r="H1400">
        <v>2</v>
      </c>
    </row>
    <row r="1401" spans="1:8" x14ac:dyDescent="0.3">
      <c r="A1401">
        <v>2</v>
      </c>
      <c r="B1401">
        <v>1</v>
      </c>
      <c r="C1401">
        <v>0</v>
      </c>
      <c r="D1401">
        <v>1</v>
      </c>
      <c r="E1401" t="s">
        <v>14</v>
      </c>
      <c r="F1401">
        <v>1</v>
      </c>
      <c r="G1401">
        <v>0</v>
      </c>
      <c r="H1401">
        <v>1</v>
      </c>
    </row>
    <row r="1402" spans="1:8" x14ac:dyDescent="0.3">
      <c r="A1402">
        <v>2</v>
      </c>
      <c r="B1402">
        <v>0</v>
      </c>
      <c r="C1402">
        <v>1</v>
      </c>
      <c r="D1402">
        <v>1</v>
      </c>
      <c r="E1402" t="s">
        <v>14</v>
      </c>
      <c r="F1402">
        <v>0</v>
      </c>
      <c r="G1402">
        <v>1</v>
      </c>
      <c r="H1402">
        <v>1</v>
      </c>
    </row>
    <row r="1403" spans="1:8" x14ac:dyDescent="0.3">
      <c r="A1403">
        <v>2</v>
      </c>
      <c r="B1403">
        <v>1</v>
      </c>
      <c r="C1403">
        <v>0</v>
      </c>
      <c r="D1403">
        <v>1</v>
      </c>
      <c r="E1403" t="s">
        <v>14</v>
      </c>
      <c r="F1403">
        <v>0</v>
      </c>
      <c r="G1403">
        <v>0</v>
      </c>
      <c r="H1403">
        <v>2</v>
      </c>
    </row>
    <row r="1404" spans="1:8" x14ac:dyDescent="0.3">
      <c r="A1404">
        <v>2</v>
      </c>
      <c r="B1404">
        <v>1</v>
      </c>
      <c r="C1404">
        <v>0</v>
      </c>
      <c r="D1404">
        <v>1</v>
      </c>
      <c r="E1404" t="s">
        <v>14</v>
      </c>
      <c r="F1404">
        <v>1</v>
      </c>
      <c r="G1404">
        <v>0</v>
      </c>
      <c r="H1404">
        <v>1</v>
      </c>
    </row>
    <row r="1405" spans="1:8" x14ac:dyDescent="0.3">
      <c r="A1405">
        <v>2</v>
      </c>
      <c r="B1405">
        <v>1</v>
      </c>
      <c r="C1405">
        <v>1</v>
      </c>
      <c r="D1405">
        <v>0</v>
      </c>
      <c r="E1405" t="s">
        <v>14</v>
      </c>
      <c r="F1405">
        <v>1</v>
      </c>
      <c r="G1405">
        <v>1</v>
      </c>
      <c r="H1405">
        <v>0</v>
      </c>
    </row>
    <row r="1406" spans="1:8" x14ac:dyDescent="0.3">
      <c r="A1406">
        <v>3</v>
      </c>
      <c r="B1406">
        <v>1</v>
      </c>
      <c r="C1406">
        <v>1</v>
      </c>
      <c r="D1406">
        <v>1</v>
      </c>
      <c r="E1406" t="s">
        <v>14</v>
      </c>
      <c r="F1406">
        <v>2</v>
      </c>
      <c r="G1406">
        <v>1</v>
      </c>
      <c r="H1406">
        <v>0</v>
      </c>
    </row>
    <row r="1407" spans="1:8" x14ac:dyDescent="0.3">
      <c r="A1407">
        <v>3</v>
      </c>
      <c r="B1407">
        <v>1</v>
      </c>
      <c r="C1407">
        <v>1</v>
      </c>
      <c r="D1407">
        <v>1</v>
      </c>
      <c r="E1407" t="s">
        <v>14</v>
      </c>
      <c r="F1407">
        <v>0</v>
      </c>
      <c r="G1407">
        <v>2</v>
      </c>
      <c r="H1407">
        <v>1</v>
      </c>
    </row>
    <row r="1408" spans="1:8" x14ac:dyDescent="0.3">
      <c r="A1408">
        <v>3</v>
      </c>
      <c r="B1408">
        <v>1</v>
      </c>
      <c r="C1408">
        <v>1</v>
      </c>
      <c r="D1408">
        <v>1</v>
      </c>
      <c r="E1408" t="s">
        <v>14</v>
      </c>
      <c r="F1408">
        <v>1</v>
      </c>
      <c r="G1408">
        <v>1</v>
      </c>
      <c r="H1408">
        <v>1</v>
      </c>
    </row>
    <row r="1409" spans="1:8" x14ac:dyDescent="0.3">
      <c r="A1409">
        <v>3</v>
      </c>
      <c r="B1409">
        <v>1</v>
      </c>
      <c r="C1409">
        <v>1</v>
      </c>
      <c r="D1409">
        <v>1</v>
      </c>
      <c r="E1409" t="s">
        <v>14</v>
      </c>
      <c r="F1409">
        <v>0</v>
      </c>
      <c r="G1409">
        <v>2</v>
      </c>
      <c r="H1409">
        <v>1</v>
      </c>
    </row>
    <row r="1410" spans="1:8" x14ac:dyDescent="0.3">
      <c r="A1410">
        <v>3</v>
      </c>
      <c r="B1410">
        <v>1</v>
      </c>
      <c r="C1410">
        <v>1</v>
      </c>
      <c r="D1410">
        <v>1</v>
      </c>
      <c r="E1410" t="s">
        <v>14</v>
      </c>
      <c r="F1410">
        <v>1</v>
      </c>
      <c r="G1410">
        <v>1</v>
      </c>
      <c r="H1410">
        <v>1</v>
      </c>
    </row>
    <row r="1411" spans="1:8" x14ac:dyDescent="0.3">
      <c r="A1411">
        <v>3</v>
      </c>
      <c r="B1411">
        <v>1</v>
      </c>
      <c r="C1411">
        <v>1</v>
      </c>
      <c r="D1411">
        <v>1</v>
      </c>
      <c r="E1411" t="s">
        <v>14</v>
      </c>
      <c r="F1411">
        <v>1</v>
      </c>
      <c r="G1411">
        <v>1</v>
      </c>
      <c r="H1411">
        <v>1</v>
      </c>
    </row>
    <row r="1412" spans="1:8" x14ac:dyDescent="0.3">
      <c r="A1412">
        <v>3</v>
      </c>
      <c r="B1412">
        <v>1</v>
      </c>
      <c r="C1412">
        <v>1</v>
      </c>
      <c r="D1412">
        <v>1</v>
      </c>
      <c r="E1412" t="s">
        <v>14</v>
      </c>
      <c r="F1412">
        <v>1</v>
      </c>
      <c r="G1412">
        <v>1</v>
      </c>
      <c r="H1412">
        <v>1</v>
      </c>
    </row>
    <row r="1413" spans="1:8" x14ac:dyDescent="0.3">
      <c r="A1413">
        <v>3</v>
      </c>
      <c r="B1413">
        <v>1</v>
      </c>
      <c r="C1413">
        <v>1</v>
      </c>
      <c r="D1413">
        <v>1</v>
      </c>
      <c r="E1413" t="s">
        <v>14</v>
      </c>
      <c r="F1413">
        <v>1</v>
      </c>
      <c r="G1413">
        <v>0</v>
      </c>
      <c r="H1413">
        <v>2</v>
      </c>
    </row>
    <row r="1414" spans="1:8" x14ac:dyDescent="0.3">
      <c r="A1414">
        <v>3</v>
      </c>
      <c r="B1414">
        <v>1</v>
      </c>
      <c r="C1414">
        <v>1</v>
      </c>
      <c r="D1414">
        <v>1</v>
      </c>
      <c r="E1414" t="s">
        <v>14</v>
      </c>
      <c r="F1414">
        <v>0</v>
      </c>
      <c r="G1414">
        <v>2</v>
      </c>
      <c r="H1414">
        <v>1</v>
      </c>
    </row>
    <row r="1415" spans="1:8" x14ac:dyDescent="0.3">
      <c r="A1415">
        <v>3</v>
      </c>
      <c r="B1415">
        <v>1</v>
      </c>
      <c r="C1415">
        <v>1</v>
      </c>
      <c r="D1415">
        <v>1</v>
      </c>
      <c r="E1415" t="s">
        <v>14</v>
      </c>
      <c r="F1415">
        <v>1</v>
      </c>
      <c r="G1415">
        <v>1</v>
      </c>
      <c r="H1415">
        <v>1</v>
      </c>
    </row>
    <row r="1416" spans="1:8" x14ac:dyDescent="0.3">
      <c r="A1416">
        <v>3</v>
      </c>
      <c r="B1416">
        <v>1</v>
      </c>
      <c r="C1416">
        <v>0</v>
      </c>
      <c r="D1416">
        <v>2</v>
      </c>
      <c r="E1416" t="s">
        <v>14</v>
      </c>
      <c r="F1416">
        <v>1</v>
      </c>
      <c r="G1416">
        <v>0</v>
      </c>
      <c r="H1416">
        <v>2</v>
      </c>
    </row>
    <row r="1417" spans="1:8" x14ac:dyDescent="0.3">
      <c r="A1417">
        <v>3</v>
      </c>
      <c r="B1417">
        <v>1</v>
      </c>
      <c r="C1417">
        <v>1</v>
      </c>
      <c r="D1417">
        <v>1</v>
      </c>
      <c r="E1417" t="s">
        <v>14</v>
      </c>
      <c r="F1417">
        <v>1</v>
      </c>
      <c r="G1417">
        <v>1</v>
      </c>
      <c r="H1417">
        <v>1</v>
      </c>
    </row>
    <row r="1418" spans="1:8" x14ac:dyDescent="0.3">
      <c r="A1418">
        <v>3</v>
      </c>
      <c r="B1418">
        <v>1</v>
      </c>
      <c r="C1418">
        <v>1</v>
      </c>
      <c r="D1418">
        <v>1</v>
      </c>
      <c r="E1418" t="s">
        <v>14</v>
      </c>
      <c r="F1418">
        <v>0</v>
      </c>
      <c r="G1418">
        <v>2</v>
      </c>
      <c r="H1418">
        <v>1</v>
      </c>
    </row>
    <row r="1419" spans="1:8" x14ac:dyDescent="0.3">
      <c r="A1419">
        <v>3</v>
      </c>
      <c r="B1419">
        <v>1</v>
      </c>
      <c r="C1419">
        <v>1</v>
      </c>
      <c r="D1419">
        <v>1</v>
      </c>
      <c r="E1419" t="s">
        <v>14</v>
      </c>
      <c r="F1419">
        <v>1</v>
      </c>
      <c r="G1419">
        <v>1</v>
      </c>
      <c r="H1419">
        <v>1</v>
      </c>
    </row>
    <row r="1420" spans="1:8" x14ac:dyDescent="0.3">
      <c r="A1420">
        <v>3</v>
      </c>
      <c r="B1420">
        <v>1</v>
      </c>
      <c r="C1420">
        <v>1</v>
      </c>
      <c r="D1420">
        <v>1</v>
      </c>
      <c r="E1420" t="s">
        <v>14</v>
      </c>
      <c r="F1420">
        <v>1</v>
      </c>
      <c r="G1420">
        <v>1</v>
      </c>
      <c r="H1420">
        <v>1</v>
      </c>
    </row>
    <row r="1421" spans="1:8" x14ac:dyDescent="0.3">
      <c r="A1421">
        <v>3</v>
      </c>
      <c r="B1421">
        <v>1</v>
      </c>
      <c r="C1421">
        <v>1</v>
      </c>
      <c r="D1421">
        <v>1</v>
      </c>
      <c r="E1421" t="s">
        <v>14</v>
      </c>
      <c r="F1421">
        <v>0</v>
      </c>
      <c r="G1421">
        <v>2</v>
      </c>
      <c r="H1421">
        <v>1</v>
      </c>
    </row>
    <row r="1422" spans="1:8" x14ac:dyDescent="0.3">
      <c r="A1422">
        <v>3</v>
      </c>
      <c r="B1422">
        <v>0</v>
      </c>
      <c r="C1422">
        <v>2</v>
      </c>
      <c r="D1422">
        <v>1</v>
      </c>
      <c r="E1422" t="s">
        <v>14</v>
      </c>
      <c r="F1422">
        <v>0</v>
      </c>
      <c r="G1422">
        <v>2</v>
      </c>
      <c r="H1422">
        <v>1</v>
      </c>
    </row>
    <row r="1423" spans="1:8" x14ac:dyDescent="0.3">
      <c r="A1423">
        <v>3</v>
      </c>
      <c r="B1423">
        <v>1</v>
      </c>
      <c r="C1423">
        <v>1</v>
      </c>
      <c r="D1423">
        <v>1</v>
      </c>
      <c r="E1423" t="s">
        <v>14</v>
      </c>
      <c r="F1423">
        <v>1</v>
      </c>
      <c r="G1423">
        <v>1</v>
      </c>
      <c r="H1423">
        <v>1</v>
      </c>
    </row>
    <row r="1424" spans="1:8" x14ac:dyDescent="0.3">
      <c r="A1424">
        <v>3</v>
      </c>
      <c r="B1424">
        <v>1</v>
      </c>
      <c r="C1424">
        <v>1</v>
      </c>
      <c r="D1424">
        <v>1</v>
      </c>
      <c r="E1424" t="s">
        <v>14</v>
      </c>
      <c r="F1424">
        <v>1</v>
      </c>
      <c r="G1424">
        <v>0</v>
      </c>
      <c r="H1424">
        <v>2</v>
      </c>
    </row>
    <row r="1425" spans="1:8" x14ac:dyDescent="0.3">
      <c r="A1425">
        <v>3</v>
      </c>
      <c r="B1425">
        <v>1</v>
      </c>
      <c r="C1425">
        <v>1</v>
      </c>
      <c r="D1425">
        <v>1</v>
      </c>
      <c r="E1425" t="s">
        <v>14</v>
      </c>
      <c r="F1425">
        <v>2</v>
      </c>
      <c r="G1425">
        <v>1</v>
      </c>
      <c r="H1425">
        <v>0</v>
      </c>
    </row>
    <row r="1426" spans="1:8" x14ac:dyDescent="0.3">
      <c r="A1426">
        <v>3</v>
      </c>
      <c r="B1426">
        <v>0</v>
      </c>
      <c r="C1426">
        <v>2</v>
      </c>
      <c r="D1426">
        <v>1</v>
      </c>
      <c r="E1426" t="s">
        <v>14</v>
      </c>
      <c r="F1426">
        <v>0</v>
      </c>
      <c r="G1426">
        <v>2</v>
      </c>
      <c r="H1426">
        <v>1</v>
      </c>
    </row>
    <row r="1427" spans="1:8" x14ac:dyDescent="0.3">
      <c r="A1427">
        <v>3</v>
      </c>
      <c r="B1427">
        <v>1</v>
      </c>
      <c r="C1427">
        <v>1</v>
      </c>
      <c r="D1427">
        <v>1</v>
      </c>
      <c r="E1427" t="s">
        <v>14</v>
      </c>
      <c r="F1427">
        <v>1</v>
      </c>
      <c r="G1427">
        <v>1</v>
      </c>
      <c r="H1427">
        <v>1</v>
      </c>
    </row>
    <row r="1428" spans="1:8" x14ac:dyDescent="0.3">
      <c r="A1428">
        <v>3</v>
      </c>
      <c r="B1428">
        <v>1</v>
      </c>
      <c r="C1428">
        <v>0</v>
      </c>
      <c r="D1428">
        <v>2</v>
      </c>
      <c r="E1428" t="s">
        <v>14</v>
      </c>
      <c r="F1428">
        <v>1</v>
      </c>
      <c r="G1428">
        <v>0</v>
      </c>
      <c r="H1428">
        <v>2</v>
      </c>
    </row>
    <row r="1429" spans="1:8" x14ac:dyDescent="0.3">
      <c r="A1429">
        <v>3</v>
      </c>
      <c r="B1429">
        <v>1</v>
      </c>
      <c r="C1429">
        <v>1</v>
      </c>
      <c r="D1429">
        <v>1</v>
      </c>
      <c r="E1429" t="s">
        <v>14</v>
      </c>
      <c r="F1429">
        <v>1</v>
      </c>
      <c r="G1429">
        <v>1</v>
      </c>
      <c r="H1429">
        <v>1</v>
      </c>
    </row>
    <row r="1430" spans="1:8" x14ac:dyDescent="0.3">
      <c r="A1430">
        <v>3</v>
      </c>
      <c r="B1430">
        <v>1</v>
      </c>
      <c r="C1430">
        <v>1</v>
      </c>
      <c r="D1430">
        <v>1</v>
      </c>
      <c r="E1430" t="s">
        <v>14</v>
      </c>
      <c r="F1430">
        <v>1</v>
      </c>
      <c r="G1430">
        <v>1</v>
      </c>
      <c r="H1430">
        <v>1</v>
      </c>
    </row>
    <row r="1431" spans="1:8" x14ac:dyDescent="0.3">
      <c r="A1431">
        <v>3</v>
      </c>
      <c r="B1431">
        <v>0</v>
      </c>
      <c r="C1431">
        <v>2</v>
      </c>
      <c r="D1431">
        <v>1</v>
      </c>
      <c r="E1431" t="s">
        <v>14</v>
      </c>
      <c r="F1431">
        <v>0</v>
      </c>
      <c r="G1431">
        <v>2</v>
      </c>
      <c r="H1431">
        <v>1</v>
      </c>
    </row>
    <row r="1432" spans="1:8" x14ac:dyDescent="0.3">
      <c r="A1432">
        <v>3</v>
      </c>
      <c r="B1432">
        <v>1</v>
      </c>
      <c r="C1432">
        <v>1</v>
      </c>
      <c r="D1432">
        <v>1</v>
      </c>
      <c r="E1432" t="s">
        <v>14</v>
      </c>
      <c r="F1432">
        <v>1</v>
      </c>
      <c r="G1432">
        <v>0</v>
      </c>
      <c r="H1432">
        <v>2</v>
      </c>
    </row>
    <row r="1433" spans="1:8" x14ac:dyDescent="0.3">
      <c r="A1433">
        <v>3</v>
      </c>
      <c r="B1433">
        <v>0</v>
      </c>
      <c r="C1433">
        <v>2</v>
      </c>
      <c r="D1433">
        <v>1</v>
      </c>
      <c r="E1433" t="s">
        <v>14</v>
      </c>
      <c r="F1433">
        <v>2</v>
      </c>
      <c r="G1433">
        <v>1</v>
      </c>
      <c r="H1433">
        <v>0</v>
      </c>
    </row>
    <row r="1434" spans="1:8" x14ac:dyDescent="0.3">
      <c r="A1434">
        <v>3</v>
      </c>
      <c r="B1434">
        <v>1</v>
      </c>
      <c r="C1434">
        <v>1</v>
      </c>
      <c r="D1434">
        <v>1</v>
      </c>
      <c r="E1434" t="s">
        <v>14</v>
      </c>
      <c r="F1434">
        <v>1</v>
      </c>
      <c r="G1434">
        <v>1</v>
      </c>
      <c r="H1434">
        <v>1</v>
      </c>
    </row>
    <row r="1435" spans="1:8" x14ac:dyDescent="0.3">
      <c r="A1435">
        <v>3</v>
      </c>
      <c r="B1435">
        <v>1</v>
      </c>
      <c r="C1435">
        <v>1</v>
      </c>
      <c r="D1435">
        <v>1</v>
      </c>
      <c r="E1435" t="s">
        <v>14</v>
      </c>
      <c r="F1435">
        <v>1</v>
      </c>
      <c r="G1435">
        <v>1</v>
      </c>
      <c r="H1435">
        <v>1</v>
      </c>
    </row>
    <row r="1436" spans="1:8" x14ac:dyDescent="0.3">
      <c r="A1436">
        <v>3</v>
      </c>
      <c r="B1436">
        <v>1</v>
      </c>
      <c r="C1436">
        <v>1</v>
      </c>
      <c r="D1436">
        <v>1</v>
      </c>
      <c r="E1436" t="s">
        <v>14</v>
      </c>
      <c r="F1436">
        <v>1</v>
      </c>
      <c r="G1436">
        <v>1</v>
      </c>
      <c r="H1436">
        <v>1</v>
      </c>
    </row>
    <row r="1437" spans="1:8" x14ac:dyDescent="0.3">
      <c r="A1437">
        <v>3</v>
      </c>
      <c r="B1437">
        <v>1</v>
      </c>
      <c r="C1437">
        <v>1</v>
      </c>
      <c r="D1437">
        <v>1</v>
      </c>
      <c r="E1437" t="s">
        <v>14</v>
      </c>
      <c r="F1437">
        <v>0</v>
      </c>
      <c r="G1437">
        <v>2</v>
      </c>
      <c r="H1437">
        <v>1</v>
      </c>
    </row>
    <row r="1438" spans="1:8" x14ac:dyDescent="0.3">
      <c r="A1438">
        <v>3</v>
      </c>
      <c r="B1438">
        <v>1</v>
      </c>
      <c r="C1438">
        <v>1</v>
      </c>
      <c r="D1438">
        <v>1</v>
      </c>
      <c r="E1438" t="s">
        <v>14</v>
      </c>
      <c r="F1438">
        <v>1</v>
      </c>
      <c r="G1438">
        <v>1</v>
      </c>
      <c r="H1438">
        <v>1</v>
      </c>
    </row>
    <row r="1439" spans="1:8" x14ac:dyDescent="0.3">
      <c r="A1439">
        <v>3</v>
      </c>
      <c r="B1439">
        <v>1</v>
      </c>
      <c r="C1439">
        <v>1</v>
      </c>
      <c r="D1439">
        <v>1</v>
      </c>
      <c r="E1439" t="s">
        <v>14</v>
      </c>
      <c r="F1439">
        <v>1</v>
      </c>
      <c r="G1439">
        <v>1</v>
      </c>
      <c r="H1439">
        <v>1</v>
      </c>
    </row>
    <row r="1440" spans="1:8" x14ac:dyDescent="0.3">
      <c r="A1440">
        <v>3</v>
      </c>
      <c r="B1440">
        <v>1</v>
      </c>
      <c r="C1440">
        <v>0</v>
      </c>
      <c r="D1440">
        <v>2</v>
      </c>
      <c r="E1440" t="s">
        <v>14</v>
      </c>
      <c r="F1440">
        <v>1</v>
      </c>
      <c r="G1440">
        <v>0</v>
      </c>
      <c r="H1440">
        <v>2</v>
      </c>
    </row>
    <row r="1441" spans="1:8" x14ac:dyDescent="0.3">
      <c r="A1441">
        <v>3</v>
      </c>
      <c r="B1441">
        <v>1</v>
      </c>
      <c r="C1441">
        <v>1</v>
      </c>
      <c r="D1441">
        <v>1</v>
      </c>
      <c r="E1441" t="s">
        <v>14</v>
      </c>
      <c r="F1441">
        <v>1</v>
      </c>
      <c r="G1441">
        <v>1</v>
      </c>
      <c r="H1441">
        <v>1</v>
      </c>
    </row>
    <row r="1442" spans="1:8" x14ac:dyDescent="0.3">
      <c r="A1442">
        <v>3</v>
      </c>
      <c r="B1442">
        <v>1</v>
      </c>
      <c r="C1442">
        <v>0</v>
      </c>
      <c r="D1442">
        <v>2</v>
      </c>
      <c r="E1442" t="s">
        <v>14</v>
      </c>
      <c r="F1442">
        <v>1</v>
      </c>
      <c r="G1442">
        <v>0</v>
      </c>
      <c r="H1442">
        <v>2</v>
      </c>
    </row>
    <row r="1443" spans="1:8" x14ac:dyDescent="0.3">
      <c r="A1443">
        <v>3</v>
      </c>
      <c r="B1443">
        <v>0</v>
      </c>
      <c r="C1443">
        <v>2</v>
      </c>
      <c r="D1443">
        <v>1</v>
      </c>
      <c r="E1443" t="s">
        <v>14</v>
      </c>
      <c r="F1443">
        <v>2</v>
      </c>
      <c r="G1443">
        <v>1</v>
      </c>
      <c r="H1443">
        <v>0</v>
      </c>
    </row>
    <row r="1444" spans="1:8" x14ac:dyDescent="0.3">
      <c r="A1444">
        <v>4</v>
      </c>
      <c r="B1444">
        <v>1</v>
      </c>
      <c r="C1444">
        <v>1</v>
      </c>
      <c r="D1444">
        <v>2</v>
      </c>
      <c r="E1444" t="s">
        <v>14</v>
      </c>
      <c r="F1444">
        <v>1</v>
      </c>
      <c r="G1444">
        <v>1</v>
      </c>
      <c r="H1444">
        <v>2</v>
      </c>
    </row>
    <row r="1445" spans="1:8" x14ac:dyDescent="0.3">
      <c r="A1445">
        <v>4</v>
      </c>
      <c r="B1445">
        <v>1</v>
      </c>
      <c r="C1445">
        <v>1</v>
      </c>
      <c r="D1445">
        <v>2</v>
      </c>
      <c r="E1445" t="s">
        <v>14</v>
      </c>
      <c r="F1445">
        <v>1</v>
      </c>
      <c r="G1445">
        <v>1</v>
      </c>
      <c r="H1445">
        <v>2</v>
      </c>
    </row>
    <row r="1446" spans="1:8" x14ac:dyDescent="0.3">
      <c r="A1446">
        <v>4</v>
      </c>
      <c r="B1446">
        <v>2</v>
      </c>
      <c r="C1446">
        <v>1</v>
      </c>
      <c r="D1446">
        <v>1</v>
      </c>
      <c r="E1446" t="s">
        <v>14</v>
      </c>
      <c r="F1446">
        <v>2</v>
      </c>
      <c r="G1446">
        <v>2</v>
      </c>
      <c r="H1446">
        <v>0</v>
      </c>
    </row>
    <row r="1447" spans="1:8" x14ac:dyDescent="0.3">
      <c r="A1447">
        <v>4</v>
      </c>
      <c r="B1447">
        <v>1</v>
      </c>
      <c r="C1447">
        <v>2</v>
      </c>
      <c r="D1447">
        <v>1</v>
      </c>
      <c r="E1447" t="s">
        <v>14</v>
      </c>
      <c r="F1447">
        <v>1</v>
      </c>
      <c r="G1447">
        <v>2</v>
      </c>
      <c r="H1447">
        <v>1</v>
      </c>
    </row>
    <row r="1448" spans="1:8" x14ac:dyDescent="0.3">
      <c r="A1448">
        <v>4</v>
      </c>
      <c r="B1448">
        <v>1</v>
      </c>
      <c r="C1448">
        <v>2</v>
      </c>
      <c r="D1448">
        <v>1</v>
      </c>
      <c r="E1448" t="s">
        <v>14</v>
      </c>
      <c r="F1448">
        <v>1</v>
      </c>
      <c r="G1448">
        <v>2</v>
      </c>
      <c r="H1448">
        <v>1</v>
      </c>
    </row>
    <row r="1449" spans="1:8" x14ac:dyDescent="0.3">
      <c r="A1449">
        <v>4</v>
      </c>
      <c r="B1449">
        <v>1</v>
      </c>
      <c r="C1449">
        <v>1</v>
      </c>
      <c r="D1449">
        <v>2</v>
      </c>
      <c r="E1449" t="s">
        <v>14</v>
      </c>
      <c r="F1449">
        <v>1</v>
      </c>
      <c r="G1449">
        <v>1</v>
      </c>
      <c r="H1449">
        <v>2</v>
      </c>
    </row>
    <row r="1450" spans="1:8" x14ac:dyDescent="0.3">
      <c r="A1450">
        <v>4</v>
      </c>
      <c r="B1450">
        <v>1</v>
      </c>
      <c r="C1450">
        <v>1</v>
      </c>
      <c r="D1450">
        <v>2</v>
      </c>
      <c r="E1450" t="s">
        <v>14</v>
      </c>
      <c r="F1450">
        <v>1</v>
      </c>
      <c r="G1450">
        <v>1</v>
      </c>
      <c r="H1450">
        <v>2</v>
      </c>
    </row>
    <row r="1451" spans="1:8" x14ac:dyDescent="0.3">
      <c r="A1451">
        <v>4</v>
      </c>
      <c r="B1451">
        <v>1</v>
      </c>
      <c r="C1451">
        <v>2</v>
      </c>
      <c r="D1451">
        <v>1</v>
      </c>
      <c r="E1451" t="s">
        <v>14</v>
      </c>
      <c r="F1451">
        <v>1</v>
      </c>
      <c r="G1451">
        <v>2</v>
      </c>
      <c r="H1451">
        <v>1</v>
      </c>
    </row>
    <row r="1452" spans="1:8" x14ac:dyDescent="0.3">
      <c r="A1452">
        <v>4</v>
      </c>
      <c r="B1452">
        <v>1</v>
      </c>
      <c r="C1452">
        <v>1</v>
      </c>
      <c r="D1452">
        <v>2</v>
      </c>
      <c r="E1452" t="s">
        <v>14</v>
      </c>
      <c r="F1452">
        <v>2</v>
      </c>
      <c r="G1452">
        <v>2</v>
      </c>
      <c r="H1452">
        <v>0</v>
      </c>
    </row>
    <row r="1453" spans="1:8" x14ac:dyDescent="0.3">
      <c r="A1453">
        <v>4</v>
      </c>
      <c r="B1453">
        <v>1</v>
      </c>
      <c r="C1453">
        <v>2</v>
      </c>
      <c r="D1453">
        <v>1</v>
      </c>
      <c r="E1453" t="s">
        <v>14</v>
      </c>
      <c r="F1453">
        <v>1</v>
      </c>
      <c r="G1453">
        <v>2</v>
      </c>
      <c r="H1453">
        <v>1</v>
      </c>
    </row>
    <row r="1454" spans="1:8" x14ac:dyDescent="0.3">
      <c r="A1454">
        <v>4</v>
      </c>
      <c r="B1454">
        <v>2</v>
      </c>
      <c r="C1454">
        <v>1</v>
      </c>
      <c r="D1454">
        <v>1</v>
      </c>
      <c r="E1454" t="s">
        <v>14</v>
      </c>
      <c r="F1454">
        <v>2</v>
      </c>
      <c r="G1454">
        <v>1</v>
      </c>
      <c r="H1454">
        <v>1</v>
      </c>
    </row>
    <row r="1455" spans="1:8" x14ac:dyDescent="0.3">
      <c r="A1455">
        <v>4</v>
      </c>
      <c r="B1455">
        <v>1</v>
      </c>
      <c r="C1455">
        <v>2</v>
      </c>
      <c r="D1455">
        <v>1</v>
      </c>
      <c r="E1455" t="s">
        <v>14</v>
      </c>
      <c r="F1455">
        <v>2</v>
      </c>
      <c r="G1455">
        <v>2</v>
      </c>
      <c r="H1455">
        <v>0</v>
      </c>
    </row>
    <row r="1456" spans="1:8" x14ac:dyDescent="0.3">
      <c r="A1456">
        <v>5</v>
      </c>
      <c r="B1456">
        <v>1</v>
      </c>
      <c r="C1456">
        <v>2</v>
      </c>
      <c r="D1456">
        <v>2</v>
      </c>
      <c r="E1456" t="s">
        <v>14</v>
      </c>
      <c r="F1456">
        <v>1</v>
      </c>
      <c r="G1456">
        <v>2</v>
      </c>
      <c r="H1456">
        <v>2</v>
      </c>
    </row>
    <row r="1457" spans="1:8" x14ac:dyDescent="0.3">
      <c r="A1457">
        <v>5</v>
      </c>
      <c r="B1457">
        <v>1</v>
      </c>
      <c r="C1457">
        <v>2</v>
      </c>
      <c r="D1457">
        <v>2</v>
      </c>
      <c r="E1457" t="s">
        <v>14</v>
      </c>
      <c r="F1457">
        <v>1</v>
      </c>
      <c r="G1457">
        <v>2</v>
      </c>
      <c r="H1457">
        <v>2</v>
      </c>
    </row>
    <row r="1458" spans="1:8" x14ac:dyDescent="0.3">
      <c r="A1458">
        <v>5</v>
      </c>
      <c r="B1458">
        <v>1</v>
      </c>
      <c r="C1458">
        <v>2</v>
      </c>
      <c r="D1458">
        <v>2</v>
      </c>
      <c r="E1458" t="s">
        <v>14</v>
      </c>
      <c r="F1458">
        <v>0</v>
      </c>
      <c r="G1458">
        <v>2</v>
      </c>
      <c r="H1458">
        <v>3</v>
      </c>
    </row>
    <row r="1459" spans="1:8" x14ac:dyDescent="0.3">
      <c r="A1459">
        <v>5</v>
      </c>
      <c r="B1459">
        <v>1</v>
      </c>
      <c r="C1459">
        <v>2</v>
      </c>
      <c r="D1459">
        <v>2</v>
      </c>
      <c r="E1459" t="s">
        <v>14</v>
      </c>
      <c r="F1459">
        <v>1</v>
      </c>
      <c r="G1459">
        <v>2</v>
      </c>
      <c r="H1459">
        <v>2</v>
      </c>
    </row>
    <row r="1460" spans="1:8" x14ac:dyDescent="0.3">
      <c r="A1460">
        <v>5</v>
      </c>
      <c r="B1460">
        <v>2</v>
      </c>
      <c r="C1460">
        <v>1</v>
      </c>
      <c r="D1460">
        <v>2</v>
      </c>
      <c r="E1460" t="s">
        <v>14</v>
      </c>
      <c r="F1460">
        <v>3</v>
      </c>
      <c r="G1460">
        <v>0</v>
      </c>
      <c r="H1460">
        <v>2</v>
      </c>
    </row>
    <row r="1461" spans="1:8" x14ac:dyDescent="0.3">
      <c r="A1461">
        <v>6</v>
      </c>
      <c r="B1461">
        <v>1</v>
      </c>
      <c r="C1461">
        <v>2</v>
      </c>
      <c r="D1461">
        <v>3</v>
      </c>
      <c r="E1461" t="s">
        <v>14</v>
      </c>
      <c r="F1461">
        <v>1</v>
      </c>
      <c r="G1461">
        <v>2</v>
      </c>
      <c r="H1461">
        <v>3</v>
      </c>
    </row>
    <row r="1462" spans="1:8" x14ac:dyDescent="0.3">
      <c r="A1462">
        <v>6</v>
      </c>
      <c r="B1462">
        <v>1</v>
      </c>
      <c r="C1462">
        <v>2</v>
      </c>
      <c r="D1462">
        <v>3</v>
      </c>
      <c r="E1462" t="s">
        <v>14</v>
      </c>
      <c r="F1462">
        <v>1</v>
      </c>
      <c r="G1462">
        <v>2</v>
      </c>
      <c r="H1462">
        <v>3</v>
      </c>
    </row>
    <row r="1463" spans="1:8" x14ac:dyDescent="0.3">
      <c r="A1463">
        <v>6</v>
      </c>
      <c r="B1463">
        <v>3</v>
      </c>
      <c r="C1463">
        <v>1</v>
      </c>
      <c r="D1463">
        <v>2</v>
      </c>
      <c r="E1463" t="s">
        <v>14</v>
      </c>
      <c r="F1463">
        <v>3</v>
      </c>
      <c r="G1463">
        <v>1</v>
      </c>
      <c r="H1463">
        <v>2</v>
      </c>
    </row>
    <row r="1464" spans="1:8" x14ac:dyDescent="0.3">
      <c r="A1464">
        <v>6</v>
      </c>
      <c r="B1464">
        <v>1</v>
      </c>
      <c r="C1464">
        <v>2</v>
      </c>
      <c r="D1464">
        <v>3</v>
      </c>
      <c r="E1464" t="s">
        <v>14</v>
      </c>
      <c r="F1464">
        <v>1</v>
      </c>
      <c r="G1464">
        <v>2</v>
      </c>
      <c r="H1464">
        <v>3</v>
      </c>
    </row>
    <row r="1465" spans="1:8" x14ac:dyDescent="0.3">
      <c r="A1465">
        <v>7</v>
      </c>
      <c r="B1465">
        <v>3</v>
      </c>
      <c r="C1465">
        <v>2</v>
      </c>
      <c r="D1465">
        <v>2</v>
      </c>
      <c r="E1465" t="s">
        <v>14</v>
      </c>
      <c r="F1465">
        <v>3</v>
      </c>
      <c r="G1465">
        <v>2</v>
      </c>
      <c r="H1465">
        <v>2</v>
      </c>
    </row>
    <row r="1466" spans="1:8" x14ac:dyDescent="0.3">
      <c r="A1466">
        <v>7</v>
      </c>
      <c r="B1466">
        <v>2</v>
      </c>
      <c r="C1466">
        <v>3</v>
      </c>
      <c r="D1466">
        <v>2</v>
      </c>
      <c r="E1466" t="s">
        <v>14</v>
      </c>
      <c r="F1466">
        <v>2</v>
      </c>
      <c r="G1466">
        <v>3</v>
      </c>
      <c r="H1466">
        <v>2</v>
      </c>
    </row>
    <row r="1467" spans="1:8" x14ac:dyDescent="0.3">
      <c r="A1467">
        <v>7</v>
      </c>
      <c r="B1467">
        <v>2</v>
      </c>
      <c r="C1467">
        <v>2</v>
      </c>
      <c r="D1467">
        <v>3</v>
      </c>
      <c r="E1467" t="s">
        <v>14</v>
      </c>
      <c r="F1467">
        <v>2</v>
      </c>
      <c r="G1467">
        <v>2</v>
      </c>
      <c r="H1467">
        <v>3</v>
      </c>
    </row>
    <row r="1468" spans="1:8" x14ac:dyDescent="0.3">
      <c r="A1468">
        <v>7</v>
      </c>
      <c r="B1468">
        <v>2</v>
      </c>
      <c r="C1468">
        <v>3</v>
      </c>
      <c r="D1468">
        <v>2</v>
      </c>
      <c r="E1468" t="s">
        <v>14</v>
      </c>
      <c r="F1468">
        <v>2</v>
      </c>
      <c r="G1468">
        <v>3</v>
      </c>
      <c r="H1468">
        <v>2</v>
      </c>
    </row>
    <row r="1469" spans="1:8" x14ac:dyDescent="0.3">
      <c r="A1469">
        <v>7</v>
      </c>
      <c r="B1469">
        <v>3</v>
      </c>
      <c r="C1469">
        <v>2</v>
      </c>
      <c r="D1469">
        <v>2</v>
      </c>
      <c r="E1469" t="s">
        <v>14</v>
      </c>
      <c r="F1469">
        <v>3</v>
      </c>
      <c r="G1469">
        <v>2</v>
      </c>
      <c r="H1469">
        <v>2</v>
      </c>
    </row>
    <row r="1470" spans="1:8" x14ac:dyDescent="0.3">
      <c r="A1470">
        <v>8</v>
      </c>
      <c r="B1470">
        <v>3</v>
      </c>
      <c r="C1470">
        <v>3</v>
      </c>
      <c r="D1470">
        <v>2</v>
      </c>
      <c r="E1470" t="s">
        <v>14</v>
      </c>
      <c r="F1470">
        <v>3</v>
      </c>
      <c r="G1470">
        <v>3</v>
      </c>
      <c r="H1470">
        <v>2</v>
      </c>
    </row>
    <row r="1471" spans="1:8" x14ac:dyDescent="0.3">
      <c r="A1471">
        <v>2</v>
      </c>
      <c r="B1471">
        <v>0</v>
      </c>
      <c r="C1471">
        <v>1</v>
      </c>
      <c r="D1471">
        <v>1</v>
      </c>
      <c r="E1471" t="s">
        <v>14</v>
      </c>
      <c r="F1471">
        <v>0</v>
      </c>
      <c r="G1471">
        <v>2</v>
      </c>
      <c r="H1471">
        <v>0</v>
      </c>
    </row>
    <row r="1472" spans="1:8" x14ac:dyDescent="0.3">
      <c r="A1472">
        <v>2</v>
      </c>
      <c r="B1472">
        <v>1</v>
      </c>
      <c r="C1472">
        <v>0</v>
      </c>
      <c r="D1472">
        <v>1</v>
      </c>
      <c r="E1472" t="s">
        <v>14</v>
      </c>
      <c r="F1472">
        <v>0</v>
      </c>
      <c r="G1472">
        <v>2</v>
      </c>
      <c r="H1472">
        <v>0</v>
      </c>
    </row>
    <row r="1473" spans="1:8" x14ac:dyDescent="0.3">
      <c r="A1473">
        <v>2</v>
      </c>
      <c r="B1473">
        <v>0</v>
      </c>
      <c r="C1473">
        <v>1</v>
      </c>
      <c r="D1473">
        <v>1</v>
      </c>
      <c r="E1473" t="s">
        <v>14</v>
      </c>
      <c r="F1473">
        <v>0</v>
      </c>
      <c r="G1473">
        <v>0</v>
      </c>
      <c r="H1473">
        <v>2</v>
      </c>
    </row>
    <row r="1474" spans="1:8" x14ac:dyDescent="0.3">
      <c r="A1474">
        <v>2</v>
      </c>
      <c r="B1474">
        <v>1</v>
      </c>
      <c r="C1474">
        <v>1</v>
      </c>
      <c r="D1474">
        <v>0</v>
      </c>
      <c r="E1474" t="s">
        <v>14</v>
      </c>
      <c r="F1474">
        <v>0</v>
      </c>
      <c r="G1474">
        <v>2</v>
      </c>
      <c r="H1474">
        <v>0</v>
      </c>
    </row>
    <row r="1475" spans="1:8" x14ac:dyDescent="0.3">
      <c r="A1475">
        <v>2</v>
      </c>
      <c r="B1475">
        <v>1</v>
      </c>
      <c r="C1475">
        <v>0</v>
      </c>
      <c r="D1475">
        <v>1</v>
      </c>
      <c r="E1475" t="s">
        <v>14</v>
      </c>
      <c r="F1475">
        <v>0</v>
      </c>
      <c r="G1475">
        <v>2</v>
      </c>
      <c r="H1475">
        <v>0</v>
      </c>
    </row>
    <row r="1476" spans="1:8" x14ac:dyDescent="0.3">
      <c r="A1476">
        <v>3</v>
      </c>
      <c r="B1476">
        <v>1</v>
      </c>
      <c r="C1476">
        <v>1</v>
      </c>
      <c r="D1476">
        <v>1</v>
      </c>
      <c r="E1476" t="s">
        <v>14</v>
      </c>
      <c r="F1476">
        <v>0</v>
      </c>
      <c r="G1476">
        <v>2</v>
      </c>
      <c r="H1476">
        <v>1</v>
      </c>
    </row>
    <row r="1477" spans="1:8" x14ac:dyDescent="0.3">
      <c r="A1477">
        <v>3</v>
      </c>
      <c r="B1477">
        <v>0</v>
      </c>
      <c r="C1477">
        <v>2</v>
      </c>
      <c r="D1477">
        <v>1</v>
      </c>
      <c r="E1477" t="s">
        <v>14</v>
      </c>
      <c r="F1477">
        <v>0</v>
      </c>
      <c r="G1477">
        <v>2</v>
      </c>
      <c r="H1477">
        <v>1</v>
      </c>
    </row>
    <row r="1478" spans="1:8" x14ac:dyDescent="0.3">
      <c r="A1478">
        <v>3</v>
      </c>
      <c r="B1478">
        <v>1</v>
      </c>
      <c r="C1478">
        <v>1</v>
      </c>
      <c r="D1478">
        <v>1</v>
      </c>
      <c r="E1478" t="s">
        <v>14</v>
      </c>
      <c r="F1478">
        <v>2</v>
      </c>
      <c r="G1478">
        <v>1</v>
      </c>
      <c r="H1478">
        <v>0</v>
      </c>
    </row>
    <row r="1479" spans="1:8" x14ac:dyDescent="0.3">
      <c r="A1479">
        <v>3</v>
      </c>
      <c r="B1479">
        <v>0</v>
      </c>
      <c r="C1479">
        <v>2</v>
      </c>
      <c r="D1479">
        <v>1</v>
      </c>
      <c r="E1479" t="s">
        <v>14</v>
      </c>
      <c r="F1479">
        <v>2</v>
      </c>
      <c r="G1479">
        <v>1</v>
      </c>
      <c r="H1479">
        <v>0</v>
      </c>
    </row>
    <row r="1480" spans="1:8" x14ac:dyDescent="0.3">
      <c r="A1480">
        <v>3</v>
      </c>
      <c r="B1480">
        <v>1</v>
      </c>
      <c r="C1480">
        <v>1</v>
      </c>
      <c r="D1480">
        <v>1</v>
      </c>
      <c r="E1480" t="s">
        <v>14</v>
      </c>
      <c r="F1480">
        <v>2</v>
      </c>
      <c r="G1480">
        <v>1</v>
      </c>
      <c r="H1480">
        <v>0</v>
      </c>
    </row>
    <row r="1481" spans="1:8" x14ac:dyDescent="0.3">
      <c r="A1481">
        <v>3</v>
      </c>
      <c r="B1481">
        <v>1</v>
      </c>
      <c r="C1481">
        <v>0</v>
      </c>
      <c r="D1481">
        <v>2</v>
      </c>
      <c r="E1481" t="s">
        <v>14</v>
      </c>
      <c r="F1481">
        <v>2</v>
      </c>
      <c r="G1481">
        <v>1</v>
      </c>
      <c r="H1481">
        <v>0</v>
      </c>
    </row>
    <row r="1482" spans="1:8" x14ac:dyDescent="0.3">
      <c r="A1482">
        <v>3</v>
      </c>
      <c r="B1482">
        <v>1</v>
      </c>
      <c r="C1482">
        <v>1</v>
      </c>
      <c r="D1482">
        <v>1</v>
      </c>
      <c r="E1482" t="s">
        <v>14</v>
      </c>
      <c r="F1482">
        <v>1</v>
      </c>
      <c r="G1482">
        <v>1</v>
      </c>
      <c r="H1482">
        <v>1</v>
      </c>
    </row>
    <row r="1483" spans="1:8" x14ac:dyDescent="0.3">
      <c r="A1483">
        <v>3</v>
      </c>
      <c r="B1483">
        <v>1</v>
      </c>
      <c r="C1483">
        <v>1</v>
      </c>
      <c r="D1483">
        <v>1</v>
      </c>
      <c r="E1483" t="s">
        <v>14</v>
      </c>
      <c r="F1483">
        <v>0</v>
      </c>
      <c r="G1483">
        <v>2</v>
      </c>
      <c r="H1483">
        <v>1</v>
      </c>
    </row>
    <row r="1484" spans="1:8" x14ac:dyDescent="0.3">
      <c r="A1484">
        <v>3</v>
      </c>
      <c r="B1484">
        <v>0</v>
      </c>
      <c r="C1484">
        <v>2</v>
      </c>
      <c r="D1484">
        <v>1</v>
      </c>
      <c r="E1484" t="s">
        <v>14</v>
      </c>
      <c r="F1484">
        <v>0</v>
      </c>
      <c r="G1484">
        <v>2</v>
      </c>
      <c r="H1484">
        <v>1</v>
      </c>
    </row>
    <row r="1485" spans="1:8" x14ac:dyDescent="0.3">
      <c r="A1485">
        <v>3</v>
      </c>
      <c r="B1485">
        <v>1</v>
      </c>
      <c r="C1485">
        <v>1</v>
      </c>
      <c r="D1485">
        <v>1</v>
      </c>
      <c r="E1485" t="s">
        <v>14</v>
      </c>
      <c r="F1485">
        <v>1</v>
      </c>
      <c r="G1485">
        <v>1</v>
      </c>
      <c r="H1485">
        <v>1</v>
      </c>
    </row>
    <row r="1486" spans="1:8" x14ac:dyDescent="0.3">
      <c r="A1486">
        <v>3</v>
      </c>
      <c r="B1486">
        <v>1</v>
      </c>
      <c r="C1486">
        <v>1</v>
      </c>
      <c r="D1486">
        <v>1</v>
      </c>
      <c r="E1486" t="s">
        <v>14</v>
      </c>
      <c r="F1486">
        <v>1</v>
      </c>
      <c r="G1486">
        <v>1</v>
      </c>
      <c r="H1486">
        <v>1</v>
      </c>
    </row>
    <row r="1487" spans="1:8" x14ac:dyDescent="0.3">
      <c r="A1487">
        <v>3</v>
      </c>
      <c r="B1487">
        <v>2</v>
      </c>
      <c r="C1487">
        <v>1</v>
      </c>
      <c r="D1487">
        <v>0</v>
      </c>
      <c r="E1487" t="s">
        <v>14</v>
      </c>
      <c r="F1487">
        <v>0</v>
      </c>
      <c r="G1487">
        <v>2</v>
      </c>
      <c r="H1487">
        <v>1</v>
      </c>
    </row>
    <row r="1488" spans="1:8" x14ac:dyDescent="0.3">
      <c r="A1488">
        <v>3</v>
      </c>
      <c r="B1488">
        <v>0</v>
      </c>
      <c r="C1488">
        <v>2</v>
      </c>
      <c r="D1488">
        <v>1</v>
      </c>
      <c r="E1488" t="s">
        <v>14</v>
      </c>
      <c r="F1488">
        <v>1</v>
      </c>
      <c r="G1488">
        <v>0</v>
      </c>
      <c r="H1488">
        <v>2</v>
      </c>
    </row>
    <row r="1489" spans="1:8" x14ac:dyDescent="0.3">
      <c r="A1489">
        <v>3</v>
      </c>
      <c r="B1489">
        <v>2</v>
      </c>
      <c r="C1489">
        <v>1</v>
      </c>
      <c r="D1489">
        <v>0</v>
      </c>
      <c r="E1489" t="s">
        <v>14</v>
      </c>
      <c r="F1489">
        <v>2</v>
      </c>
      <c r="G1489">
        <v>1</v>
      </c>
      <c r="H1489">
        <v>0</v>
      </c>
    </row>
    <row r="1490" spans="1:8" x14ac:dyDescent="0.3">
      <c r="A1490">
        <v>3</v>
      </c>
      <c r="B1490">
        <v>0</v>
      </c>
      <c r="C1490">
        <v>2</v>
      </c>
      <c r="D1490">
        <v>1</v>
      </c>
      <c r="E1490" t="s">
        <v>14</v>
      </c>
      <c r="F1490">
        <v>0</v>
      </c>
      <c r="G1490">
        <v>2</v>
      </c>
      <c r="H1490">
        <v>1</v>
      </c>
    </row>
    <row r="1491" spans="1:8" x14ac:dyDescent="0.3">
      <c r="A1491">
        <v>3</v>
      </c>
      <c r="B1491">
        <v>1</v>
      </c>
      <c r="C1491">
        <v>1</v>
      </c>
      <c r="D1491">
        <v>1</v>
      </c>
      <c r="E1491" t="s">
        <v>14</v>
      </c>
      <c r="F1491">
        <v>1</v>
      </c>
      <c r="G1491">
        <v>0</v>
      </c>
      <c r="H1491">
        <v>2</v>
      </c>
    </row>
    <row r="1492" spans="1:8" x14ac:dyDescent="0.3">
      <c r="A1492">
        <v>3</v>
      </c>
      <c r="B1492">
        <v>1</v>
      </c>
      <c r="C1492">
        <v>1</v>
      </c>
      <c r="D1492">
        <v>1</v>
      </c>
      <c r="E1492" t="s">
        <v>14</v>
      </c>
      <c r="F1492">
        <v>1</v>
      </c>
      <c r="G1492">
        <v>1</v>
      </c>
      <c r="H1492">
        <v>1</v>
      </c>
    </row>
    <row r="1493" spans="1:8" x14ac:dyDescent="0.3">
      <c r="A1493">
        <v>3</v>
      </c>
      <c r="B1493">
        <v>1</v>
      </c>
      <c r="C1493">
        <v>1</v>
      </c>
      <c r="D1493">
        <v>1</v>
      </c>
      <c r="E1493" t="s">
        <v>14</v>
      </c>
      <c r="F1493">
        <v>1</v>
      </c>
      <c r="G1493">
        <v>1</v>
      </c>
      <c r="H1493">
        <v>1</v>
      </c>
    </row>
    <row r="1494" spans="1:8" x14ac:dyDescent="0.3">
      <c r="A1494">
        <v>3</v>
      </c>
      <c r="B1494">
        <v>0</v>
      </c>
      <c r="C1494">
        <v>2</v>
      </c>
      <c r="D1494">
        <v>1</v>
      </c>
      <c r="E1494" t="s">
        <v>14</v>
      </c>
      <c r="F1494">
        <v>0</v>
      </c>
      <c r="G1494">
        <v>2</v>
      </c>
      <c r="H1494">
        <v>1</v>
      </c>
    </row>
    <row r="1495" spans="1:8" x14ac:dyDescent="0.3">
      <c r="A1495">
        <v>3</v>
      </c>
      <c r="B1495">
        <v>1</v>
      </c>
      <c r="C1495">
        <v>1</v>
      </c>
      <c r="D1495">
        <v>1</v>
      </c>
      <c r="E1495" t="s">
        <v>14</v>
      </c>
      <c r="F1495">
        <v>1</v>
      </c>
      <c r="G1495">
        <v>1</v>
      </c>
      <c r="H1495">
        <v>1</v>
      </c>
    </row>
    <row r="1496" spans="1:8" x14ac:dyDescent="0.3">
      <c r="A1496">
        <v>3</v>
      </c>
      <c r="B1496">
        <v>2</v>
      </c>
      <c r="C1496">
        <v>1</v>
      </c>
      <c r="D1496">
        <v>0</v>
      </c>
      <c r="E1496" t="s">
        <v>14</v>
      </c>
      <c r="F1496">
        <v>2</v>
      </c>
      <c r="G1496">
        <v>1</v>
      </c>
      <c r="H1496">
        <v>0</v>
      </c>
    </row>
    <row r="1497" spans="1:8" x14ac:dyDescent="0.3">
      <c r="A1497">
        <v>3</v>
      </c>
      <c r="B1497">
        <v>1</v>
      </c>
      <c r="C1497">
        <v>1</v>
      </c>
      <c r="D1497">
        <v>1</v>
      </c>
      <c r="E1497" t="s">
        <v>14</v>
      </c>
      <c r="F1497">
        <v>1</v>
      </c>
      <c r="G1497">
        <v>1</v>
      </c>
      <c r="H1497">
        <v>1</v>
      </c>
    </row>
    <row r="1498" spans="1:8" x14ac:dyDescent="0.3">
      <c r="A1498">
        <v>3</v>
      </c>
      <c r="B1498">
        <v>1</v>
      </c>
      <c r="C1498">
        <v>1</v>
      </c>
      <c r="D1498">
        <v>1</v>
      </c>
      <c r="E1498" t="s">
        <v>14</v>
      </c>
      <c r="F1498">
        <v>1</v>
      </c>
      <c r="G1498">
        <v>1</v>
      </c>
      <c r="H1498">
        <v>1</v>
      </c>
    </row>
    <row r="1499" spans="1:8" x14ac:dyDescent="0.3">
      <c r="A1499">
        <v>3</v>
      </c>
      <c r="B1499">
        <v>1</v>
      </c>
      <c r="C1499">
        <v>1</v>
      </c>
      <c r="D1499">
        <v>1</v>
      </c>
      <c r="E1499" t="s">
        <v>14</v>
      </c>
      <c r="F1499">
        <v>1</v>
      </c>
      <c r="G1499">
        <v>0</v>
      </c>
      <c r="H1499">
        <v>2</v>
      </c>
    </row>
    <row r="1500" spans="1:8" x14ac:dyDescent="0.3">
      <c r="A1500">
        <v>3</v>
      </c>
      <c r="B1500">
        <v>2</v>
      </c>
      <c r="C1500">
        <v>1</v>
      </c>
      <c r="D1500">
        <v>0</v>
      </c>
      <c r="E1500" t="s">
        <v>14</v>
      </c>
      <c r="F1500">
        <v>1</v>
      </c>
      <c r="G1500">
        <v>0</v>
      </c>
      <c r="H1500">
        <v>2</v>
      </c>
    </row>
    <row r="1501" spans="1:8" x14ac:dyDescent="0.3">
      <c r="A1501">
        <v>3</v>
      </c>
      <c r="B1501">
        <v>2</v>
      </c>
      <c r="C1501">
        <v>1</v>
      </c>
      <c r="D1501">
        <v>0</v>
      </c>
      <c r="E1501" t="s">
        <v>14</v>
      </c>
      <c r="F1501">
        <v>2</v>
      </c>
      <c r="G1501">
        <v>1</v>
      </c>
      <c r="H1501">
        <v>0</v>
      </c>
    </row>
    <row r="1502" spans="1:8" x14ac:dyDescent="0.3">
      <c r="A1502">
        <v>3</v>
      </c>
      <c r="B1502">
        <v>1</v>
      </c>
      <c r="C1502">
        <v>1</v>
      </c>
      <c r="D1502">
        <v>1</v>
      </c>
      <c r="E1502" t="s">
        <v>14</v>
      </c>
      <c r="F1502">
        <v>1</v>
      </c>
      <c r="G1502">
        <v>1</v>
      </c>
      <c r="H1502">
        <v>1</v>
      </c>
    </row>
    <row r="1503" spans="1:8" x14ac:dyDescent="0.3">
      <c r="A1503">
        <v>3</v>
      </c>
      <c r="B1503">
        <v>0</v>
      </c>
      <c r="C1503">
        <v>2</v>
      </c>
      <c r="D1503">
        <v>1</v>
      </c>
      <c r="E1503" t="s">
        <v>14</v>
      </c>
      <c r="F1503">
        <v>0</v>
      </c>
      <c r="G1503">
        <v>2</v>
      </c>
      <c r="H1503">
        <v>1</v>
      </c>
    </row>
    <row r="1504" spans="1:8" x14ac:dyDescent="0.3">
      <c r="A1504">
        <v>3</v>
      </c>
      <c r="B1504">
        <v>1</v>
      </c>
      <c r="C1504">
        <v>1</v>
      </c>
      <c r="D1504">
        <v>1</v>
      </c>
      <c r="E1504" t="s">
        <v>14</v>
      </c>
      <c r="F1504">
        <v>1</v>
      </c>
      <c r="G1504">
        <v>1</v>
      </c>
      <c r="H1504">
        <v>1</v>
      </c>
    </row>
    <row r="1505" spans="1:8" x14ac:dyDescent="0.3">
      <c r="A1505">
        <v>3</v>
      </c>
      <c r="B1505">
        <v>1</v>
      </c>
      <c r="C1505">
        <v>0</v>
      </c>
      <c r="D1505">
        <v>2</v>
      </c>
      <c r="E1505" t="s">
        <v>14</v>
      </c>
      <c r="F1505">
        <v>2</v>
      </c>
      <c r="G1505">
        <v>1</v>
      </c>
      <c r="H1505">
        <v>0</v>
      </c>
    </row>
    <row r="1506" spans="1:8" x14ac:dyDescent="0.3">
      <c r="A1506">
        <v>3</v>
      </c>
      <c r="B1506">
        <v>1</v>
      </c>
      <c r="C1506">
        <v>1</v>
      </c>
      <c r="D1506">
        <v>1</v>
      </c>
      <c r="E1506" t="s">
        <v>14</v>
      </c>
      <c r="F1506">
        <v>1</v>
      </c>
      <c r="G1506">
        <v>1</v>
      </c>
      <c r="H1506">
        <v>1</v>
      </c>
    </row>
    <row r="1507" spans="1:8" x14ac:dyDescent="0.3">
      <c r="A1507">
        <v>3</v>
      </c>
      <c r="B1507">
        <v>1</v>
      </c>
      <c r="C1507">
        <v>1</v>
      </c>
      <c r="D1507">
        <v>1</v>
      </c>
      <c r="E1507" t="s">
        <v>14</v>
      </c>
      <c r="F1507">
        <v>1</v>
      </c>
      <c r="G1507">
        <v>1</v>
      </c>
      <c r="H1507">
        <v>1</v>
      </c>
    </row>
    <row r="1508" spans="1:8" x14ac:dyDescent="0.3">
      <c r="A1508">
        <v>3</v>
      </c>
      <c r="B1508">
        <v>0</v>
      </c>
      <c r="C1508">
        <v>2</v>
      </c>
      <c r="D1508">
        <v>1</v>
      </c>
      <c r="E1508" t="s">
        <v>14</v>
      </c>
      <c r="F1508">
        <v>0</v>
      </c>
      <c r="G1508">
        <v>2</v>
      </c>
      <c r="H1508">
        <v>1</v>
      </c>
    </row>
    <row r="1509" spans="1:8" x14ac:dyDescent="0.3">
      <c r="A1509">
        <v>3</v>
      </c>
      <c r="B1509">
        <v>2</v>
      </c>
      <c r="C1509">
        <v>1</v>
      </c>
      <c r="D1509">
        <v>0</v>
      </c>
      <c r="E1509" t="s">
        <v>14</v>
      </c>
      <c r="F1509">
        <v>2</v>
      </c>
      <c r="G1509">
        <v>1</v>
      </c>
      <c r="H1509">
        <v>0</v>
      </c>
    </row>
    <row r="1510" spans="1:8" x14ac:dyDescent="0.3">
      <c r="A1510">
        <v>3</v>
      </c>
      <c r="B1510">
        <v>1</v>
      </c>
      <c r="C1510">
        <v>1</v>
      </c>
      <c r="D1510">
        <v>1</v>
      </c>
      <c r="E1510" t="s">
        <v>14</v>
      </c>
      <c r="F1510">
        <v>2</v>
      </c>
      <c r="G1510">
        <v>1</v>
      </c>
      <c r="H1510">
        <v>0</v>
      </c>
    </row>
    <row r="1511" spans="1:8" x14ac:dyDescent="0.3">
      <c r="A1511">
        <v>3</v>
      </c>
      <c r="B1511">
        <v>1</v>
      </c>
      <c r="C1511">
        <v>1</v>
      </c>
      <c r="D1511">
        <v>1</v>
      </c>
      <c r="E1511" t="s">
        <v>14</v>
      </c>
      <c r="F1511">
        <v>1</v>
      </c>
      <c r="G1511">
        <v>0</v>
      </c>
      <c r="H1511">
        <v>2</v>
      </c>
    </row>
    <row r="1512" spans="1:8" x14ac:dyDescent="0.3">
      <c r="A1512">
        <v>3</v>
      </c>
      <c r="B1512">
        <v>1</v>
      </c>
      <c r="C1512">
        <v>1</v>
      </c>
      <c r="D1512">
        <v>1</v>
      </c>
      <c r="E1512" t="s">
        <v>14</v>
      </c>
      <c r="F1512">
        <v>1</v>
      </c>
      <c r="G1512">
        <v>1</v>
      </c>
      <c r="H1512">
        <v>1</v>
      </c>
    </row>
    <row r="1513" spans="1:8" x14ac:dyDescent="0.3">
      <c r="A1513">
        <v>3</v>
      </c>
      <c r="B1513">
        <v>1</v>
      </c>
      <c r="C1513">
        <v>1</v>
      </c>
      <c r="D1513">
        <v>1</v>
      </c>
      <c r="E1513" t="s">
        <v>14</v>
      </c>
      <c r="F1513">
        <v>2</v>
      </c>
      <c r="G1513">
        <v>1</v>
      </c>
      <c r="H1513">
        <v>0</v>
      </c>
    </row>
    <row r="1514" spans="1:8" x14ac:dyDescent="0.3">
      <c r="A1514">
        <v>3</v>
      </c>
      <c r="B1514">
        <v>1</v>
      </c>
      <c r="C1514">
        <v>1</v>
      </c>
      <c r="D1514">
        <v>1</v>
      </c>
      <c r="E1514" t="s">
        <v>14</v>
      </c>
      <c r="F1514">
        <v>1</v>
      </c>
      <c r="G1514">
        <v>1</v>
      </c>
      <c r="H1514">
        <v>1</v>
      </c>
    </row>
    <row r="1515" spans="1:8" x14ac:dyDescent="0.3">
      <c r="A1515">
        <v>3</v>
      </c>
      <c r="B1515">
        <v>1</v>
      </c>
      <c r="C1515">
        <v>1</v>
      </c>
      <c r="D1515">
        <v>1</v>
      </c>
      <c r="E1515" t="s">
        <v>14</v>
      </c>
      <c r="F1515">
        <v>0</v>
      </c>
      <c r="G1515">
        <v>2</v>
      </c>
      <c r="H1515">
        <v>1</v>
      </c>
    </row>
    <row r="1516" spans="1:8" x14ac:dyDescent="0.3">
      <c r="A1516">
        <v>3</v>
      </c>
      <c r="B1516">
        <v>1</v>
      </c>
      <c r="C1516">
        <v>0</v>
      </c>
      <c r="D1516">
        <v>2</v>
      </c>
      <c r="E1516" t="s">
        <v>14</v>
      </c>
      <c r="F1516">
        <v>2</v>
      </c>
      <c r="G1516">
        <v>1</v>
      </c>
      <c r="H1516">
        <v>0</v>
      </c>
    </row>
    <row r="1517" spans="1:8" x14ac:dyDescent="0.3">
      <c r="A1517">
        <v>3</v>
      </c>
      <c r="B1517">
        <v>2</v>
      </c>
      <c r="C1517">
        <v>1</v>
      </c>
      <c r="D1517">
        <v>0</v>
      </c>
      <c r="E1517" t="s">
        <v>14</v>
      </c>
      <c r="F1517">
        <v>2</v>
      </c>
      <c r="G1517">
        <v>1</v>
      </c>
      <c r="H1517">
        <v>0</v>
      </c>
    </row>
    <row r="1518" spans="1:8" x14ac:dyDescent="0.3">
      <c r="A1518">
        <v>3</v>
      </c>
      <c r="B1518">
        <v>1</v>
      </c>
      <c r="C1518">
        <v>1</v>
      </c>
      <c r="D1518">
        <v>1</v>
      </c>
      <c r="E1518" t="s">
        <v>14</v>
      </c>
      <c r="F1518">
        <v>1</v>
      </c>
      <c r="G1518">
        <v>1</v>
      </c>
      <c r="H1518">
        <v>1</v>
      </c>
    </row>
    <row r="1519" spans="1:8" x14ac:dyDescent="0.3">
      <c r="A1519">
        <v>3</v>
      </c>
      <c r="B1519">
        <v>0</v>
      </c>
      <c r="C1519">
        <v>2</v>
      </c>
      <c r="D1519">
        <v>1</v>
      </c>
      <c r="E1519" t="s">
        <v>14</v>
      </c>
      <c r="F1519">
        <v>0</v>
      </c>
      <c r="G1519">
        <v>2</v>
      </c>
      <c r="H1519">
        <v>1</v>
      </c>
    </row>
    <row r="1520" spans="1:8" x14ac:dyDescent="0.3">
      <c r="A1520">
        <v>3</v>
      </c>
      <c r="B1520">
        <v>1</v>
      </c>
      <c r="C1520">
        <v>1</v>
      </c>
      <c r="D1520">
        <v>1</v>
      </c>
      <c r="E1520" t="s">
        <v>14</v>
      </c>
      <c r="F1520">
        <v>1</v>
      </c>
      <c r="G1520">
        <v>1</v>
      </c>
      <c r="H1520">
        <v>1</v>
      </c>
    </row>
    <row r="1521" spans="1:8" x14ac:dyDescent="0.3">
      <c r="A1521">
        <v>3</v>
      </c>
      <c r="B1521">
        <v>1</v>
      </c>
      <c r="C1521">
        <v>1</v>
      </c>
      <c r="D1521">
        <v>1</v>
      </c>
      <c r="E1521" t="s">
        <v>14</v>
      </c>
      <c r="F1521">
        <v>1</v>
      </c>
      <c r="G1521">
        <v>1</v>
      </c>
      <c r="H1521">
        <v>1</v>
      </c>
    </row>
    <row r="1522" spans="1:8" x14ac:dyDescent="0.3">
      <c r="A1522">
        <v>3</v>
      </c>
      <c r="B1522">
        <v>1</v>
      </c>
      <c r="C1522">
        <v>1</v>
      </c>
      <c r="D1522">
        <v>1</v>
      </c>
      <c r="E1522" t="s">
        <v>14</v>
      </c>
      <c r="F1522">
        <v>2</v>
      </c>
      <c r="G1522">
        <v>1</v>
      </c>
      <c r="H1522">
        <v>0</v>
      </c>
    </row>
    <row r="1523" spans="1:8" x14ac:dyDescent="0.3">
      <c r="A1523">
        <v>3</v>
      </c>
      <c r="B1523">
        <v>1</v>
      </c>
      <c r="C1523">
        <v>1</v>
      </c>
      <c r="D1523">
        <v>1</v>
      </c>
      <c r="E1523" t="s">
        <v>14</v>
      </c>
      <c r="F1523">
        <v>0</v>
      </c>
      <c r="G1523">
        <v>2</v>
      </c>
      <c r="H1523">
        <v>1</v>
      </c>
    </row>
    <row r="1524" spans="1:8" x14ac:dyDescent="0.3">
      <c r="A1524">
        <v>4</v>
      </c>
      <c r="B1524">
        <v>2</v>
      </c>
      <c r="C1524">
        <v>1</v>
      </c>
      <c r="D1524">
        <v>1</v>
      </c>
      <c r="E1524" t="s">
        <v>14</v>
      </c>
      <c r="F1524">
        <v>2</v>
      </c>
      <c r="G1524">
        <v>0</v>
      </c>
      <c r="H1524">
        <v>2</v>
      </c>
    </row>
    <row r="1525" spans="1:8" x14ac:dyDescent="0.3">
      <c r="A1525">
        <v>4</v>
      </c>
      <c r="B1525">
        <v>1</v>
      </c>
      <c r="C1525">
        <v>1</v>
      </c>
      <c r="D1525">
        <v>2</v>
      </c>
      <c r="E1525" t="s">
        <v>14</v>
      </c>
      <c r="F1525">
        <v>1</v>
      </c>
      <c r="G1525">
        <v>1</v>
      </c>
      <c r="H1525">
        <v>2</v>
      </c>
    </row>
    <row r="1526" spans="1:8" x14ac:dyDescent="0.3">
      <c r="A1526">
        <v>4</v>
      </c>
      <c r="B1526">
        <v>1</v>
      </c>
      <c r="C1526">
        <v>1</v>
      </c>
      <c r="D1526">
        <v>2</v>
      </c>
      <c r="E1526" t="s">
        <v>14</v>
      </c>
      <c r="F1526">
        <v>2</v>
      </c>
      <c r="G1526">
        <v>2</v>
      </c>
      <c r="H1526">
        <v>0</v>
      </c>
    </row>
    <row r="1527" spans="1:8" x14ac:dyDescent="0.3">
      <c r="A1527">
        <v>4</v>
      </c>
      <c r="B1527">
        <v>2</v>
      </c>
      <c r="C1527">
        <v>1</v>
      </c>
      <c r="D1527">
        <v>1</v>
      </c>
      <c r="E1527" t="s">
        <v>14</v>
      </c>
      <c r="F1527">
        <v>2</v>
      </c>
      <c r="G1527">
        <v>2</v>
      </c>
      <c r="H1527">
        <v>0</v>
      </c>
    </row>
    <row r="1528" spans="1:8" x14ac:dyDescent="0.3">
      <c r="A1528">
        <v>5</v>
      </c>
      <c r="B1528">
        <v>2</v>
      </c>
      <c r="C1528">
        <v>1</v>
      </c>
      <c r="D1528">
        <v>2</v>
      </c>
      <c r="E1528" t="s">
        <v>14</v>
      </c>
      <c r="F1528">
        <v>2</v>
      </c>
      <c r="G1528">
        <v>1</v>
      </c>
      <c r="H1528">
        <v>2</v>
      </c>
    </row>
    <row r="1529" spans="1:8" x14ac:dyDescent="0.3">
      <c r="A1529">
        <v>5</v>
      </c>
      <c r="B1529">
        <v>2</v>
      </c>
      <c r="C1529">
        <v>2</v>
      </c>
      <c r="D1529">
        <v>1</v>
      </c>
      <c r="E1529" t="s">
        <v>14</v>
      </c>
      <c r="F1529">
        <v>0</v>
      </c>
      <c r="G1529">
        <v>2</v>
      </c>
      <c r="H1529">
        <v>3</v>
      </c>
    </row>
    <row r="1530" spans="1:8" x14ac:dyDescent="0.3">
      <c r="A1530">
        <v>5</v>
      </c>
      <c r="B1530">
        <v>2</v>
      </c>
      <c r="C1530">
        <v>1</v>
      </c>
      <c r="D1530">
        <v>2</v>
      </c>
      <c r="E1530" t="s">
        <v>14</v>
      </c>
      <c r="F1530">
        <v>2</v>
      </c>
      <c r="G1530">
        <v>1</v>
      </c>
      <c r="H1530">
        <v>2</v>
      </c>
    </row>
    <row r="1531" spans="1:8" x14ac:dyDescent="0.3">
      <c r="A1531">
        <v>5</v>
      </c>
      <c r="B1531">
        <v>1</v>
      </c>
      <c r="C1531">
        <v>2</v>
      </c>
      <c r="D1531">
        <v>2</v>
      </c>
      <c r="E1531" t="s">
        <v>14</v>
      </c>
      <c r="F1531">
        <v>3</v>
      </c>
      <c r="G1531">
        <v>0</v>
      </c>
      <c r="H1531">
        <v>2</v>
      </c>
    </row>
    <row r="1532" spans="1:8" x14ac:dyDescent="0.3">
      <c r="A1532">
        <v>6</v>
      </c>
      <c r="B1532">
        <v>2</v>
      </c>
      <c r="C1532">
        <v>2</v>
      </c>
      <c r="D1532">
        <v>2</v>
      </c>
      <c r="E1532" t="s">
        <v>14</v>
      </c>
      <c r="F1532">
        <v>2</v>
      </c>
      <c r="G1532">
        <v>2</v>
      </c>
      <c r="H1532">
        <v>2</v>
      </c>
    </row>
    <row r="1533" spans="1:8" x14ac:dyDescent="0.3">
      <c r="A1533">
        <v>6</v>
      </c>
      <c r="B1533">
        <v>3</v>
      </c>
      <c r="C1533">
        <v>1</v>
      </c>
      <c r="D1533">
        <v>2</v>
      </c>
      <c r="E1533" t="s">
        <v>14</v>
      </c>
      <c r="F1533">
        <v>3</v>
      </c>
      <c r="G1533">
        <v>1</v>
      </c>
      <c r="H1533">
        <v>2</v>
      </c>
    </row>
    <row r="1534" spans="1:8" x14ac:dyDescent="0.3">
      <c r="A1534">
        <v>6</v>
      </c>
      <c r="B1534">
        <v>2</v>
      </c>
      <c r="C1534">
        <v>2</v>
      </c>
      <c r="D1534">
        <v>2</v>
      </c>
      <c r="E1534" t="s">
        <v>14</v>
      </c>
      <c r="F1534">
        <v>2</v>
      </c>
      <c r="G1534">
        <v>2</v>
      </c>
      <c r="H1534">
        <v>2</v>
      </c>
    </row>
    <row r="1535" spans="1:8" x14ac:dyDescent="0.3">
      <c r="A1535">
        <v>6</v>
      </c>
      <c r="B1535">
        <v>2</v>
      </c>
      <c r="C1535">
        <v>3</v>
      </c>
      <c r="D1535">
        <v>1</v>
      </c>
      <c r="E1535" t="s">
        <v>14</v>
      </c>
      <c r="F1535">
        <v>2</v>
      </c>
      <c r="G1535">
        <v>3</v>
      </c>
      <c r="H1535">
        <v>1</v>
      </c>
    </row>
    <row r="1536" spans="1:8" x14ac:dyDescent="0.3">
      <c r="A1536">
        <v>7</v>
      </c>
      <c r="B1536">
        <v>2</v>
      </c>
      <c r="C1536">
        <v>2</v>
      </c>
      <c r="D1536">
        <v>3</v>
      </c>
      <c r="E1536" t="s">
        <v>14</v>
      </c>
      <c r="F1536">
        <v>2</v>
      </c>
      <c r="G1536">
        <v>2</v>
      </c>
      <c r="H1536">
        <v>3</v>
      </c>
    </row>
    <row r="1537" spans="1:8" x14ac:dyDescent="0.3">
      <c r="A1537">
        <v>7</v>
      </c>
      <c r="B1537">
        <v>2</v>
      </c>
      <c r="C1537">
        <v>3</v>
      </c>
      <c r="D1537">
        <v>2</v>
      </c>
      <c r="E1537" t="s">
        <v>14</v>
      </c>
      <c r="F1537">
        <v>2</v>
      </c>
      <c r="G1537">
        <v>3</v>
      </c>
      <c r="H1537">
        <v>2</v>
      </c>
    </row>
    <row r="1538" spans="1:8" x14ac:dyDescent="0.3">
      <c r="A1538">
        <v>7</v>
      </c>
      <c r="B1538">
        <v>2</v>
      </c>
      <c r="C1538">
        <v>2</v>
      </c>
      <c r="D1538">
        <v>3</v>
      </c>
      <c r="E1538" t="s">
        <v>14</v>
      </c>
      <c r="F1538">
        <v>2</v>
      </c>
      <c r="G1538">
        <v>2</v>
      </c>
      <c r="H1538">
        <v>3</v>
      </c>
    </row>
    <row r="1539" spans="1:8" x14ac:dyDescent="0.3">
      <c r="A1539">
        <v>7</v>
      </c>
      <c r="B1539">
        <v>2</v>
      </c>
      <c r="C1539">
        <v>3</v>
      </c>
      <c r="D1539">
        <v>2</v>
      </c>
      <c r="E1539" t="s">
        <v>14</v>
      </c>
      <c r="F1539">
        <v>2</v>
      </c>
      <c r="G1539">
        <v>3</v>
      </c>
      <c r="H1539">
        <v>2</v>
      </c>
    </row>
    <row r="1540" spans="1:8" x14ac:dyDescent="0.3">
      <c r="A1540">
        <v>8</v>
      </c>
      <c r="B1540">
        <v>2</v>
      </c>
      <c r="C1540">
        <v>3</v>
      </c>
      <c r="D1540">
        <v>3</v>
      </c>
      <c r="E1540" t="s">
        <v>14</v>
      </c>
      <c r="F1540">
        <v>2</v>
      </c>
      <c r="G1540">
        <v>3</v>
      </c>
      <c r="H1540">
        <v>3</v>
      </c>
    </row>
    <row r="1541" spans="1:8" x14ac:dyDescent="0.3">
      <c r="A1541">
        <v>2</v>
      </c>
      <c r="B1541">
        <v>1</v>
      </c>
      <c r="C1541">
        <v>0</v>
      </c>
      <c r="D1541">
        <v>1</v>
      </c>
      <c r="E1541" t="s">
        <v>14</v>
      </c>
      <c r="F1541">
        <v>0</v>
      </c>
      <c r="G1541">
        <v>2</v>
      </c>
      <c r="H1541">
        <v>0</v>
      </c>
    </row>
    <row r="1542" spans="1:8" x14ac:dyDescent="0.3">
      <c r="A1542">
        <v>2</v>
      </c>
      <c r="B1542">
        <v>0</v>
      </c>
      <c r="C1542">
        <v>1</v>
      </c>
      <c r="D1542">
        <v>1</v>
      </c>
      <c r="E1542" t="s">
        <v>14</v>
      </c>
      <c r="F1542">
        <v>2</v>
      </c>
      <c r="G1542">
        <v>0</v>
      </c>
      <c r="H1542">
        <v>0</v>
      </c>
    </row>
    <row r="1543" spans="1:8" x14ac:dyDescent="0.3">
      <c r="A1543">
        <v>2</v>
      </c>
      <c r="B1543">
        <v>1</v>
      </c>
      <c r="C1543">
        <v>1</v>
      </c>
      <c r="D1543">
        <v>0</v>
      </c>
      <c r="E1543" t="s">
        <v>14</v>
      </c>
      <c r="F1543">
        <v>1</v>
      </c>
      <c r="G1543">
        <v>1</v>
      </c>
      <c r="H1543">
        <v>0</v>
      </c>
    </row>
    <row r="1544" spans="1:8" x14ac:dyDescent="0.3">
      <c r="A1544">
        <v>2</v>
      </c>
      <c r="B1544">
        <v>1</v>
      </c>
      <c r="C1544">
        <v>1</v>
      </c>
      <c r="D1544">
        <v>0</v>
      </c>
      <c r="E1544" t="s">
        <v>14</v>
      </c>
      <c r="F1544">
        <v>1</v>
      </c>
      <c r="G1544">
        <v>1</v>
      </c>
      <c r="H1544">
        <v>0</v>
      </c>
    </row>
    <row r="1545" spans="1:8" x14ac:dyDescent="0.3">
      <c r="A1545">
        <v>3</v>
      </c>
      <c r="B1545">
        <v>1</v>
      </c>
      <c r="C1545">
        <v>0</v>
      </c>
      <c r="D1545">
        <v>2</v>
      </c>
      <c r="E1545" t="s">
        <v>14</v>
      </c>
      <c r="F1545">
        <v>0</v>
      </c>
      <c r="G1545">
        <v>2</v>
      </c>
      <c r="H1545">
        <v>1</v>
      </c>
    </row>
    <row r="1546" spans="1:8" x14ac:dyDescent="0.3">
      <c r="A1546">
        <v>3</v>
      </c>
      <c r="B1546">
        <v>1</v>
      </c>
      <c r="C1546">
        <v>1</v>
      </c>
      <c r="D1546">
        <v>1</v>
      </c>
      <c r="E1546" t="s">
        <v>14</v>
      </c>
      <c r="F1546">
        <v>1</v>
      </c>
      <c r="G1546">
        <v>0</v>
      </c>
      <c r="H1546">
        <v>2</v>
      </c>
    </row>
    <row r="1547" spans="1:8" x14ac:dyDescent="0.3">
      <c r="A1547">
        <v>3</v>
      </c>
      <c r="B1547">
        <v>1</v>
      </c>
      <c r="C1547">
        <v>1</v>
      </c>
      <c r="D1547">
        <v>1</v>
      </c>
      <c r="E1547" t="s">
        <v>14</v>
      </c>
      <c r="F1547">
        <v>1</v>
      </c>
      <c r="G1547">
        <v>1</v>
      </c>
      <c r="H1547">
        <v>1</v>
      </c>
    </row>
    <row r="1548" spans="1:8" x14ac:dyDescent="0.3">
      <c r="A1548">
        <v>3</v>
      </c>
      <c r="B1548">
        <v>1</v>
      </c>
      <c r="C1548">
        <v>1</v>
      </c>
      <c r="D1548">
        <v>1</v>
      </c>
      <c r="E1548" t="s">
        <v>14</v>
      </c>
      <c r="F1548">
        <v>1</v>
      </c>
      <c r="G1548">
        <v>0</v>
      </c>
      <c r="H1548">
        <v>2</v>
      </c>
    </row>
    <row r="1549" spans="1:8" x14ac:dyDescent="0.3">
      <c r="A1549">
        <v>3</v>
      </c>
      <c r="B1549">
        <v>1</v>
      </c>
      <c r="C1549">
        <v>1</v>
      </c>
      <c r="D1549">
        <v>1</v>
      </c>
      <c r="E1549" t="s">
        <v>14</v>
      </c>
      <c r="F1549">
        <v>1</v>
      </c>
      <c r="G1549">
        <v>1</v>
      </c>
      <c r="H1549">
        <v>1</v>
      </c>
    </row>
    <row r="1550" spans="1:8" x14ac:dyDescent="0.3">
      <c r="A1550">
        <v>3</v>
      </c>
      <c r="B1550">
        <v>1</v>
      </c>
      <c r="C1550">
        <v>1</v>
      </c>
      <c r="D1550">
        <v>1</v>
      </c>
      <c r="E1550" t="s">
        <v>14</v>
      </c>
      <c r="F1550">
        <v>1</v>
      </c>
      <c r="G1550">
        <v>1</v>
      </c>
      <c r="H1550">
        <v>1</v>
      </c>
    </row>
    <row r="1551" spans="1:8" x14ac:dyDescent="0.3">
      <c r="A1551">
        <v>3</v>
      </c>
      <c r="B1551">
        <v>2</v>
      </c>
      <c r="C1551">
        <v>1</v>
      </c>
      <c r="D1551">
        <v>0</v>
      </c>
      <c r="E1551" t="s">
        <v>14</v>
      </c>
      <c r="F1551">
        <v>2</v>
      </c>
      <c r="G1551">
        <v>1</v>
      </c>
      <c r="H1551">
        <v>0</v>
      </c>
    </row>
    <row r="1552" spans="1:8" x14ac:dyDescent="0.3">
      <c r="A1552">
        <v>3</v>
      </c>
      <c r="B1552">
        <v>1</v>
      </c>
      <c r="C1552">
        <v>1</v>
      </c>
      <c r="D1552">
        <v>1</v>
      </c>
      <c r="E1552" t="s">
        <v>14</v>
      </c>
      <c r="F1552">
        <v>1</v>
      </c>
      <c r="G1552">
        <v>1</v>
      </c>
      <c r="H1552">
        <v>1</v>
      </c>
    </row>
    <row r="1553" spans="1:8" x14ac:dyDescent="0.3">
      <c r="A1553">
        <v>3</v>
      </c>
      <c r="B1553">
        <v>1</v>
      </c>
      <c r="C1553">
        <v>0</v>
      </c>
      <c r="D1553">
        <v>2</v>
      </c>
      <c r="E1553" t="s">
        <v>14</v>
      </c>
      <c r="F1553">
        <v>0</v>
      </c>
      <c r="G1553">
        <v>2</v>
      </c>
      <c r="H1553">
        <v>1</v>
      </c>
    </row>
    <row r="1554" spans="1:8" x14ac:dyDescent="0.3">
      <c r="A1554">
        <v>3</v>
      </c>
      <c r="B1554">
        <v>0</v>
      </c>
      <c r="C1554">
        <v>2</v>
      </c>
      <c r="D1554">
        <v>1</v>
      </c>
      <c r="E1554" t="s">
        <v>14</v>
      </c>
      <c r="F1554">
        <v>2</v>
      </c>
      <c r="G1554">
        <v>1</v>
      </c>
      <c r="H1554">
        <v>0</v>
      </c>
    </row>
    <row r="1555" spans="1:8" x14ac:dyDescent="0.3">
      <c r="A1555">
        <v>3</v>
      </c>
      <c r="B1555">
        <v>1</v>
      </c>
      <c r="C1555">
        <v>1</v>
      </c>
      <c r="D1555">
        <v>1</v>
      </c>
      <c r="E1555" t="s">
        <v>14</v>
      </c>
      <c r="F1555">
        <v>1</v>
      </c>
      <c r="G1555">
        <v>1</v>
      </c>
      <c r="H1555">
        <v>1</v>
      </c>
    </row>
    <row r="1556" spans="1:8" x14ac:dyDescent="0.3">
      <c r="A1556">
        <v>3</v>
      </c>
      <c r="B1556">
        <v>1</v>
      </c>
      <c r="C1556">
        <v>1</v>
      </c>
      <c r="D1556">
        <v>1</v>
      </c>
      <c r="E1556" t="s">
        <v>14</v>
      </c>
      <c r="F1556">
        <v>1</v>
      </c>
      <c r="G1556">
        <v>0</v>
      </c>
      <c r="H1556">
        <v>2</v>
      </c>
    </row>
    <row r="1557" spans="1:8" x14ac:dyDescent="0.3">
      <c r="A1557">
        <v>3</v>
      </c>
      <c r="B1557">
        <v>1</v>
      </c>
      <c r="C1557">
        <v>1</v>
      </c>
      <c r="D1557">
        <v>1</v>
      </c>
      <c r="E1557" t="s">
        <v>14</v>
      </c>
      <c r="F1557">
        <v>1</v>
      </c>
      <c r="G1557">
        <v>1</v>
      </c>
      <c r="H1557">
        <v>1</v>
      </c>
    </row>
    <row r="1558" spans="1:8" x14ac:dyDescent="0.3">
      <c r="A1558">
        <v>3</v>
      </c>
      <c r="B1558">
        <v>2</v>
      </c>
      <c r="C1558">
        <v>1</v>
      </c>
      <c r="D1558">
        <v>0</v>
      </c>
      <c r="E1558" t="s">
        <v>14</v>
      </c>
      <c r="F1558">
        <v>2</v>
      </c>
      <c r="G1558">
        <v>1</v>
      </c>
      <c r="H1558">
        <v>0</v>
      </c>
    </row>
    <row r="1559" spans="1:8" x14ac:dyDescent="0.3">
      <c r="A1559">
        <v>3</v>
      </c>
      <c r="B1559">
        <v>1</v>
      </c>
      <c r="C1559">
        <v>1</v>
      </c>
      <c r="D1559">
        <v>1</v>
      </c>
      <c r="E1559" t="s">
        <v>14</v>
      </c>
      <c r="F1559">
        <v>1</v>
      </c>
      <c r="G1559">
        <v>1</v>
      </c>
      <c r="H1559">
        <v>1</v>
      </c>
    </row>
    <row r="1560" spans="1:8" x14ac:dyDescent="0.3">
      <c r="A1560">
        <v>3</v>
      </c>
      <c r="B1560">
        <v>1</v>
      </c>
      <c r="C1560">
        <v>1</v>
      </c>
      <c r="D1560">
        <v>1</v>
      </c>
      <c r="E1560" t="s">
        <v>14</v>
      </c>
      <c r="F1560">
        <v>1</v>
      </c>
      <c r="G1560">
        <v>0</v>
      </c>
      <c r="H1560">
        <v>2</v>
      </c>
    </row>
    <row r="1561" spans="1:8" x14ac:dyDescent="0.3">
      <c r="A1561">
        <v>3</v>
      </c>
      <c r="B1561">
        <v>1</v>
      </c>
      <c r="C1561">
        <v>1</v>
      </c>
      <c r="D1561">
        <v>1</v>
      </c>
      <c r="E1561" t="s">
        <v>14</v>
      </c>
      <c r="F1561">
        <v>1</v>
      </c>
      <c r="G1561">
        <v>1</v>
      </c>
      <c r="H1561">
        <v>1</v>
      </c>
    </row>
    <row r="1562" spans="1:8" x14ac:dyDescent="0.3">
      <c r="A1562">
        <v>3</v>
      </c>
      <c r="B1562">
        <v>1</v>
      </c>
      <c r="C1562">
        <v>0</v>
      </c>
      <c r="D1562">
        <v>2</v>
      </c>
      <c r="E1562" t="s">
        <v>14</v>
      </c>
      <c r="F1562">
        <v>1</v>
      </c>
      <c r="G1562">
        <v>0</v>
      </c>
      <c r="H1562">
        <v>2</v>
      </c>
    </row>
    <row r="1563" spans="1:8" x14ac:dyDescent="0.3">
      <c r="A1563">
        <v>3</v>
      </c>
      <c r="B1563">
        <v>2</v>
      </c>
      <c r="C1563">
        <v>1</v>
      </c>
      <c r="D1563">
        <v>0</v>
      </c>
      <c r="E1563" t="s">
        <v>14</v>
      </c>
      <c r="F1563">
        <v>0</v>
      </c>
      <c r="G1563">
        <v>2</v>
      </c>
      <c r="H1563">
        <v>1</v>
      </c>
    </row>
    <row r="1564" spans="1:8" x14ac:dyDescent="0.3">
      <c r="A1564">
        <v>3</v>
      </c>
      <c r="B1564">
        <v>2</v>
      </c>
      <c r="C1564">
        <v>1</v>
      </c>
      <c r="D1564">
        <v>0</v>
      </c>
      <c r="E1564" t="s">
        <v>14</v>
      </c>
      <c r="F1564">
        <v>2</v>
      </c>
      <c r="G1564">
        <v>1</v>
      </c>
      <c r="H1564">
        <v>0</v>
      </c>
    </row>
    <row r="1565" spans="1:8" x14ac:dyDescent="0.3">
      <c r="A1565">
        <v>3</v>
      </c>
      <c r="B1565">
        <v>1</v>
      </c>
      <c r="C1565">
        <v>1</v>
      </c>
      <c r="D1565">
        <v>1</v>
      </c>
      <c r="E1565" t="s">
        <v>14</v>
      </c>
      <c r="F1565">
        <v>2</v>
      </c>
      <c r="G1565">
        <v>1</v>
      </c>
      <c r="H1565">
        <v>0</v>
      </c>
    </row>
    <row r="1566" spans="1:8" x14ac:dyDescent="0.3">
      <c r="A1566">
        <v>3</v>
      </c>
      <c r="B1566">
        <v>1</v>
      </c>
      <c r="C1566">
        <v>1</v>
      </c>
      <c r="D1566">
        <v>1</v>
      </c>
      <c r="E1566" t="s">
        <v>14</v>
      </c>
      <c r="F1566">
        <v>1</v>
      </c>
      <c r="G1566">
        <v>1</v>
      </c>
      <c r="H1566">
        <v>1</v>
      </c>
    </row>
    <row r="1567" spans="1:8" x14ac:dyDescent="0.3">
      <c r="A1567">
        <v>3</v>
      </c>
      <c r="B1567">
        <v>2</v>
      </c>
      <c r="C1567">
        <v>1</v>
      </c>
      <c r="D1567">
        <v>0</v>
      </c>
      <c r="E1567" t="s">
        <v>14</v>
      </c>
      <c r="F1567">
        <v>2</v>
      </c>
      <c r="G1567">
        <v>1</v>
      </c>
      <c r="H1567">
        <v>0</v>
      </c>
    </row>
    <row r="1568" spans="1:8" x14ac:dyDescent="0.3">
      <c r="A1568">
        <v>3</v>
      </c>
      <c r="B1568">
        <v>1</v>
      </c>
      <c r="C1568">
        <v>1</v>
      </c>
      <c r="D1568">
        <v>1</v>
      </c>
      <c r="E1568" t="s">
        <v>14</v>
      </c>
      <c r="F1568">
        <v>1</v>
      </c>
      <c r="G1568">
        <v>0</v>
      </c>
      <c r="H1568">
        <v>2</v>
      </c>
    </row>
    <row r="1569" spans="1:8" x14ac:dyDescent="0.3">
      <c r="A1569">
        <v>3</v>
      </c>
      <c r="B1569">
        <v>1</v>
      </c>
      <c r="C1569">
        <v>1</v>
      </c>
      <c r="D1569">
        <v>1</v>
      </c>
      <c r="E1569" t="s">
        <v>14</v>
      </c>
      <c r="F1569">
        <v>1</v>
      </c>
      <c r="G1569">
        <v>0</v>
      </c>
      <c r="H1569">
        <v>2</v>
      </c>
    </row>
    <row r="1570" spans="1:8" x14ac:dyDescent="0.3">
      <c r="A1570">
        <v>3</v>
      </c>
      <c r="B1570">
        <v>1</v>
      </c>
      <c r="C1570">
        <v>1</v>
      </c>
      <c r="D1570">
        <v>1</v>
      </c>
      <c r="E1570" t="s">
        <v>14</v>
      </c>
      <c r="F1570">
        <v>1</v>
      </c>
      <c r="G1570">
        <v>0</v>
      </c>
      <c r="H1570">
        <v>2</v>
      </c>
    </row>
    <row r="1571" spans="1:8" x14ac:dyDescent="0.3">
      <c r="A1571">
        <v>3</v>
      </c>
      <c r="B1571">
        <v>1</v>
      </c>
      <c r="C1571">
        <v>0</v>
      </c>
      <c r="D1571">
        <v>2</v>
      </c>
      <c r="E1571" t="s">
        <v>14</v>
      </c>
      <c r="F1571">
        <v>1</v>
      </c>
      <c r="G1571">
        <v>0</v>
      </c>
      <c r="H1571">
        <v>2</v>
      </c>
    </row>
    <row r="1572" spans="1:8" x14ac:dyDescent="0.3">
      <c r="A1572">
        <v>3</v>
      </c>
      <c r="B1572">
        <v>2</v>
      </c>
      <c r="C1572">
        <v>1</v>
      </c>
      <c r="D1572">
        <v>0</v>
      </c>
      <c r="E1572" t="s">
        <v>14</v>
      </c>
      <c r="F1572">
        <v>2</v>
      </c>
      <c r="G1572">
        <v>1</v>
      </c>
      <c r="H1572">
        <v>0</v>
      </c>
    </row>
    <row r="1573" spans="1:8" x14ac:dyDescent="0.3">
      <c r="A1573">
        <v>3</v>
      </c>
      <c r="B1573">
        <v>1</v>
      </c>
      <c r="C1573">
        <v>1</v>
      </c>
      <c r="D1573">
        <v>1</v>
      </c>
      <c r="E1573" t="s">
        <v>14</v>
      </c>
      <c r="F1573">
        <v>0</v>
      </c>
      <c r="G1573">
        <v>2</v>
      </c>
      <c r="H1573">
        <v>1</v>
      </c>
    </row>
    <row r="1574" spans="1:8" x14ac:dyDescent="0.3">
      <c r="A1574">
        <v>3</v>
      </c>
      <c r="B1574">
        <v>1</v>
      </c>
      <c r="C1574">
        <v>1</v>
      </c>
      <c r="D1574">
        <v>1</v>
      </c>
      <c r="E1574" t="s">
        <v>14</v>
      </c>
      <c r="F1574">
        <v>1</v>
      </c>
      <c r="G1574">
        <v>1</v>
      </c>
      <c r="H1574">
        <v>1</v>
      </c>
    </row>
    <row r="1575" spans="1:8" x14ac:dyDescent="0.3">
      <c r="A1575">
        <v>3</v>
      </c>
      <c r="B1575">
        <v>2</v>
      </c>
      <c r="C1575">
        <v>1</v>
      </c>
      <c r="D1575">
        <v>0</v>
      </c>
      <c r="E1575" t="s">
        <v>14</v>
      </c>
      <c r="F1575">
        <v>2</v>
      </c>
      <c r="G1575">
        <v>1</v>
      </c>
      <c r="H1575">
        <v>0</v>
      </c>
    </row>
    <row r="1576" spans="1:8" x14ac:dyDescent="0.3">
      <c r="A1576">
        <v>3</v>
      </c>
      <c r="B1576">
        <v>1</v>
      </c>
      <c r="C1576">
        <v>0</v>
      </c>
      <c r="D1576">
        <v>2</v>
      </c>
      <c r="E1576" t="s">
        <v>14</v>
      </c>
      <c r="F1576">
        <v>1</v>
      </c>
      <c r="G1576">
        <v>0</v>
      </c>
      <c r="H1576">
        <v>2</v>
      </c>
    </row>
    <row r="1577" spans="1:8" x14ac:dyDescent="0.3">
      <c r="A1577">
        <v>3</v>
      </c>
      <c r="B1577">
        <v>0</v>
      </c>
      <c r="C1577">
        <v>2</v>
      </c>
      <c r="D1577">
        <v>1</v>
      </c>
      <c r="E1577" t="s">
        <v>14</v>
      </c>
      <c r="F1577">
        <v>0</v>
      </c>
      <c r="G1577">
        <v>2</v>
      </c>
      <c r="H1577">
        <v>1</v>
      </c>
    </row>
    <row r="1578" spans="1:8" x14ac:dyDescent="0.3">
      <c r="A1578">
        <v>3</v>
      </c>
      <c r="B1578">
        <v>1</v>
      </c>
      <c r="C1578">
        <v>1</v>
      </c>
      <c r="D1578">
        <v>1</v>
      </c>
      <c r="E1578" t="s">
        <v>14</v>
      </c>
      <c r="F1578">
        <v>2</v>
      </c>
      <c r="G1578">
        <v>1</v>
      </c>
      <c r="H1578">
        <v>0</v>
      </c>
    </row>
    <row r="1579" spans="1:8" x14ac:dyDescent="0.3">
      <c r="A1579">
        <v>4</v>
      </c>
      <c r="B1579">
        <v>1</v>
      </c>
      <c r="C1579">
        <v>1</v>
      </c>
      <c r="D1579">
        <v>2</v>
      </c>
      <c r="E1579" t="s">
        <v>14</v>
      </c>
      <c r="F1579">
        <v>2</v>
      </c>
      <c r="G1579">
        <v>2</v>
      </c>
      <c r="H1579">
        <v>0</v>
      </c>
    </row>
    <row r="1580" spans="1:8" x14ac:dyDescent="0.3">
      <c r="A1580">
        <v>4</v>
      </c>
      <c r="B1580">
        <v>2</v>
      </c>
      <c r="C1580">
        <v>1</v>
      </c>
      <c r="D1580">
        <v>1</v>
      </c>
      <c r="E1580" t="s">
        <v>14</v>
      </c>
      <c r="F1580">
        <v>2</v>
      </c>
      <c r="G1580">
        <v>1</v>
      </c>
      <c r="H1580">
        <v>1</v>
      </c>
    </row>
    <row r="1581" spans="1:8" x14ac:dyDescent="0.3">
      <c r="A1581">
        <v>4</v>
      </c>
      <c r="B1581">
        <v>2</v>
      </c>
      <c r="C1581">
        <v>1</v>
      </c>
      <c r="D1581">
        <v>1</v>
      </c>
      <c r="E1581" t="s">
        <v>14</v>
      </c>
      <c r="F1581">
        <v>0</v>
      </c>
      <c r="G1581">
        <v>2</v>
      </c>
      <c r="H1581">
        <v>2</v>
      </c>
    </row>
    <row r="1582" spans="1:8" x14ac:dyDescent="0.3">
      <c r="A1582">
        <v>4</v>
      </c>
      <c r="B1582">
        <v>1</v>
      </c>
      <c r="C1582">
        <v>2</v>
      </c>
      <c r="D1582">
        <v>1</v>
      </c>
      <c r="E1582" t="s">
        <v>14</v>
      </c>
      <c r="F1582">
        <v>1</v>
      </c>
      <c r="G1582">
        <v>2</v>
      </c>
      <c r="H1582">
        <v>1</v>
      </c>
    </row>
    <row r="1583" spans="1:8" x14ac:dyDescent="0.3">
      <c r="A1583">
        <v>4</v>
      </c>
      <c r="B1583">
        <v>1</v>
      </c>
      <c r="C1583">
        <v>1</v>
      </c>
      <c r="D1583">
        <v>2</v>
      </c>
      <c r="E1583" t="s">
        <v>14</v>
      </c>
      <c r="F1583">
        <v>1</v>
      </c>
      <c r="G1583">
        <v>1</v>
      </c>
      <c r="H1583">
        <v>2</v>
      </c>
    </row>
    <row r="1584" spans="1:8" x14ac:dyDescent="0.3">
      <c r="A1584">
        <v>4</v>
      </c>
      <c r="B1584">
        <v>2</v>
      </c>
      <c r="C1584">
        <v>1</v>
      </c>
      <c r="D1584">
        <v>1</v>
      </c>
      <c r="E1584" t="s">
        <v>14</v>
      </c>
      <c r="F1584">
        <v>2</v>
      </c>
      <c r="G1584">
        <v>2</v>
      </c>
      <c r="H1584">
        <v>0</v>
      </c>
    </row>
    <row r="1585" spans="1:8" x14ac:dyDescent="0.3">
      <c r="A1585">
        <v>4</v>
      </c>
      <c r="B1585">
        <v>2</v>
      </c>
      <c r="C1585">
        <v>1</v>
      </c>
      <c r="D1585">
        <v>1</v>
      </c>
      <c r="E1585" t="s">
        <v>14</v>
      </c>
      <c r="F1585">
        <v>2</v>
      </c>
      <c r="G1585">
        <v>1</v>
      </c>
      <c r="H1585">
        <v>1</v>
      </c>
    </row>
    <row r="1586" spans="1:8" x14ac:dyDescent="0.3">
      <c r="A1586">
        <v>4</v>
      </c>
      <c r="B1586">
        <v>1</v>
      </c>
      <c r="C1586">
        <v>2</v>
      </c>
      <c r="D1586">
        <v>1</v>
      </c>
      <c r="E1586" t="s">
        <v>14</v>
      </c>
      <c r="F1586">
        <v>1</v>
      </c>
      <c r="G1586">
        <v>2</v>
      </c>
      <c r="H1586">
        <v>1</v>
      </c>
    </row>
    <row r="1587" spans="1:8" x14ac:dyDescent="0.3">
      <c r="A1587">
        <v>5</v>
      </c>
      <c r="B1587">
        <v>2</v>
      </c>
      <c r="C1587">
        <v>1</v>
      </c>
      <c r="D1587">
        <v>2</v>
      </c>
      <c r="E1587" t="s">
        <v>14</v>
      </c>
      <c r="F1587">
        <v>2</v>
      </c>
      <c r="G1587">
        <v>1</v>
      </c>
      <c r="H1587">
        <v>2</v>
      </c>
    </row>
    <row r="1588" spans="1:8" x14ac:dyDescent="0.3">
      <c r="A1588">
        <v>5</v>
      </c>
      <c r="B1588">
        <v>1</v>
      </c>
      <c r="C1588">
        <v>2</v>
      </c>
      <c r="D1588">
        <v>2</v>
      </c>
      <c r="E1588" t="s">
        <v>14</v>
      </c>
      <c r="F1588">
        <v>2</v>
      </c>
      <c r="G1588">
        <v>3</v>
      </c>
      <c r="H1588">
        <v>0</v>
      </c>
    </row>
    <row r="1589" spans="1:8" x14ac:dyDescent="0.3">
      <c r="A1589">
        <v>5</v>
      </c>
      <c r="B1589">
        <v>2</v>
      </c>
      <c r="C1589">
        <v>1</v>
      </c>
      <c r="D1589">
        <v>2</v>
      </c>
      <c r="E1589" t="s">
        <v>14</v>
      </c>
      <c r="F1589">
        <v>2</v>
      </c>
      <c r="G1589">
        <v>1</v>
      </c>
      <c r="H1589">
        <v>2</v>
      </c>
    </row>
    <row r="1590" spans="1:8" x14ac:dyDescent="0.3">
      <c r="A1590">
        <v>5</v>
      </c>
      <c r="B1590">
        <v>1</v>
      </c>
      <c r="C1590">
        <v>2</v>
      </c>
      <c r="D1590">
        <v>2</v>
      </c>
      <c r="E1590" t="s">
        <v>14</v>
      </c>
      <c r="F1590">
        <v>0</v>
      </c>
      <c r="G1590">
        <v>2</v>
      </c>
      <c r="H1590">
        <v>3</v>
      </c>
    </row>
    <row r="1591" spans="1:8" x14ac:dyDescent="0.3">
      <c r="A1591">
        <v>5</v>
      </c>
      <c r="B1591">
        <v>1</v>
      </c>
      <c r="C1591">
        <v>2</v>
      </c>
      <c r="D1591">
        <v>2</v>
      </c>
      <c r="E1591" t="s">
        <v>14</v>
      </c>
      <c r="F1591">
        <v>1</v>
      </c>
      <c r="G1591">
        <v>2</v>
      </c>
      <c r="H1591">
        <v>2</v>
      </c>
    </row>
    <row r="1592" spans="1:8" x14ac:dyDescent="0.3">
      <c r="A1592">
        <v>5</v>
      </c>
      <c r="B1592">
        <v>1</v>
      </c>
      <c r="C1592">
        <v>2</v>
      </c>
      <c r="D1592">
        <v>2</v>
      </c>
      <c r="E1592" t="s">
        <v>14</v>
      </c>
      <c r="F1592">
        <v>2</v>
      </c>
      <c r="G1592">
        <v>3</v>
      </c>
      <c r="H1592">
        <v>0</v>
      </c>
    </row>
    <row r="1593" spans="1:8" x14ac:dyDescent="0.3">
      <c r="A1593">
        <v>5</v>
      </c>
      <c r="B1593">
        <v>2</v>
      </c>
      <c r="C1593">
        <v>1</v>
      </c>
      <c r="D1593">
        <v>2</v>
      </c>
      <c r="E1593" t="s">
        <v>14</v>
      </c>
      <c r="F1593">
        <v>2</v>
      </c>
      <c r="G1593">
        <v>1</v>
      </c>
      <c r="H1593">
        <v>2</v>
      </c>
    </row>
    <row r="1594" spans="1:8" x14ac:dyDescent="0.3">
      <c r="A1594">
        <v>5</v>
      </c>
      <c r="B1594">
        <v>2</v>
      </c>
      <c r="C1594">
        <v>1</v>
      </c>
      <c r="D1594">
        <v>2</v>
      </c>
      <c r="E1594" t="s">
        <v>14</v>
      </c>
      <c r="F1594">
        <v>2</v>
      </c>
      <c r="G1594">
        <v>3</v>
      </c>
      <c r="H1594">
        <v>0</v>
      </c>
    </row>
    <row r="1595" spans="1:8" x14ac:dyDescent="0.3">
      <c r="A1595">
        <v>5</v>
      </c>
      <c r="B1595">
        <v>2</v>
      </c>
      <c r="C1595">
        <v>1</v>
      </c>
      <c r="D1595">
        <v>2</v>
      </c>
      <c r="E1595" t="s">
        <v>14</v>
      </c>
      <c r="F1595">
        <v>2</v>
      </c>
      <c r="G1595">
        <v>3</v>
      </c>
      <c r="H1595">
        <v>0</v>
      </c>
    </row>
    <row r="1596" spans="1:8" x14ac:dyDescent="0.3">
      <c r="A1596">
        <v>6</v>
      </c>
      <c r="B1596">
        <v>2</v>
      </c>
      <c r="C1596">
        <v>3</v>
      </c>
      <c r="D1596">
        <v>1</v>
      </c>
      <c r="E1596" t="s">
        <v>14</v>
      </c>
      <c r="F1596">
        <v>2</v>
      </c>
      <c r="G1596">
        <v>3</v>
      </c>
      <c r="H1596">
        <v>1</v>
      </c>
    </row>
    <row r="1597" spans="1:8" x14ac:dyDescent="0.3">
      <c r="A1597">
        <v>6</v>
      </c>
      <c r="B1597">
        <v>2</v>
      </c>
      <c r="C1597">
        <v>2</v>
      </c>
      <c r="D1597">
        <v>2</v>
      </c>
      <c r="E1597" t="s">
        <v>14</v>
      </c>
      <c r="F1597">
        <v>2</v>
      </c>
      <c r="G1597">
        <v>2</v>
      </c>
      <c r="H1597">
        <v>2</v>
      </c>
    </row>
    <row r="1598" spans="1:8" x14ac:dyDescent="0.3">
      <c r="A1598">
        <v>6</v>
      </c>
      <c r="B1598">
        <v>2</v>
      </c>
      <c r="C1598">
        <v>2</v>
      </c>
      <c r="D1598">
        <v>2</v>
      </c>
      <c r="E1598" t="s">
        <v>14</v>
      </c>
      <c r="F1598">
        <v>2</v>
      </c>
      <c r="G1598">
        <v>2</v>
      </c>
      <c r="H1598">
        <v>2</v>
      </c>
    </row>
    <row r="1599" spans="1:8" x14ac:dyDescent="0.3">
      <c r="A1599">
        <v>6</v>
      </c>
      <c r="B1599">
        <v>2</v>
      </c>
      <c r="C1599">
        <v>2</v>
      </c>
      <c r="D1599">
        <v>2</v>
      </c>
      <c r="E1599" t="s">
        <v>14</v>
      </c>
      <c r="F1599">
        <v>2</v>
      </c>
      <c r="G1599">
        <v>2</v>
      </c>
      <c r="H1599">
        <v>2</v>
      </c>
    </row>
    <row r="1600" spans="1:8" x14ac:dyDescent="0.3">
      <c r="A1600">
        <v>6</v>
      </c>
      <c r="B1600">
        <v>2</v>
      </c>
      <c r="C1600">
        <v>2</v>
      </c>
      <c r="D1600">
        <v>2</v>
      </c>
      <c r="E1600" t="s">
        <v>14</v>
      </c>
      <c r="F1600">
        <v>2</v>
      </c>
      <c r="G1600">
        <v>2</v>
      </c>
      <c r="H1600">
        <v>2</v>
      </c>
    </row>
    <row r="1601" spans="1:8" x14ac:dyDescent="0.3">
      <c r="A1601">
        <v>6</v>
      </c>
      <c r="B1601">
        <v>2</v>
      </c>
      <c r="C1601">
        <v>3</v>
      </c>
      <c r="D1601">
        <v>1</v>
      </c>
      <c r="E1601" t="s">
        <v>14</v>
      </c>
      <c r="F1601">
        <v>2</v>
      </c>
      <c r="G1601">
        <v>3</v>
      </c>
      <c r="H1601">
        <v>1</v>
      </c>
    </row>
    <row r="1602" spans="1:8" x14ac:dyDescent="0.3">
      <c r="A1602">
        <v>7</v>
      </c>
      <c r="B1602">
        <v>2</v>
      </c>
      <c r="C1602">
        <v>2</v>
      </c>
      <c r="D1602">
        <v>3</v>
      </c>
      <c r="E1602" t="s">
        <v>14</v>
      </c>
      <c r="F1602">
        <v>2</v>
      </c>
      <c r="G1602">
        <v>2</v>
      </c>
      <c r="H1602">
        <v>3</v>
      </c>
    </row>
    <row r="1603" spans="1:8" x14ac:dyDescent="0.3">
      <c r="A1603">
        <v>7</v>
      </c>
      <c r="B1603">
        <v>2</v>
      </c>
      <c r="C1603">
        <v>2</v>
      </c>
      <c r="D1603">
        <v>3</v>
      </c>
      <c r="E1603" t="s">
        <v>14</v>
      </c>
      <c r="F1603">
        <v>2</v>
      </c>
      <c r="G1603">
        <v>2</v>
      </c>
      <c r="H1603">
        <v>3</v>
      </c>
    </row>
    <row r="1604" spans="1:8" x14ac:dyDescent="0.3">
      <c r="A1604">
        <v>7</v>
      </c>
      <c r="B1604">
        <v>2</v>
      </c>
      <c r="C1604">
        <v>2</v>
      </c>
      <c r="D1604">
        <v>3</v>
      </c>
      <c r="E1604" t="s">
        <v>14</v>
      </c>
      <c r="F1604">
        <v>2</v>
      </c>
      <c r="G1604">
        <v>2</v>
      </c>
      <c r="H1604">
        <v>3</v>
      </c>
    </row>
    <row r="1605" spans="1:8" x14ac:dyDescent="0.3">
      <c r="A1605">
        <v>7</v>
      </c>
      <c r="B1605">
        <v>2</v>
      </c>
      <c r="C1605">
        <v>2</v>
      </c>
      <c r="D1605">
        <v>3</v>
      </c>
      <c r="E1605" t="s">
        <v>14</v>
      </c>
      <c r="F1605">
        <v>2</v>
      </c>
      <c r="G1605">
        <v>2</v>
      </c>
      <c r="H1605">
        <v>3</v>
      </c>
    </row>
    <row r="1606" spans="1:8" x14ac:dyDescent="0.3">
      <c r="A1606">
        <v>7</v>
      </c>
      <c r="B1606">
        <v>2</v>
      </c>
      <c r="C1606">
        <v>3</v>
      </c>
      <c r="D1606">
        <v>2</v>
      </c>
      <c r="E1606" t="s">
        <v>14</v>
      </c>
      <c r="F1606">
        <v>2</v>
      </c>
      <c r="G1606">
        <v>3</v>
      </c>
      <c r="H1606">
        <v>2</v>
      </c>
    </row>
    <row r="1607" spans="1:8" x14ac:dyDescent="0.3">
      <c r="A1607">
        <v>7</v>
      </c>
      <c r="B1607">
        <v>2</v>
      </c>
      <c r="C1607">
        <v>2</v>
      </c>
      <c r="D1607">
        <v>3</v>
      </c>
      <c r="E1607" t="s">
        <v>14</v>
      </c>
      <c r="F1607">
        <v>2</v>
      </c>
      <c r="G1607">
        <v>2</v>
      </c>
      <c r="H1607">
        <v>3</v>
      </c>
    </row>
    <row r="1608" spans="1:8" x14ac:dyDescent="0.3">
      <c r="A1608">
        <v>8</v>
      </c>
      <c r="B1608">
        <v>2</v>
      </c>
      <c r="C1608">
        <v>3</v>
      </c>
      <c r="D1608">
        <v>3</v>
      </c>
      <c r="E1608" t="s">
        <v>14</v>
      </c>
      <c r="F1608">
        <v>2</v>
      </c>
      <c r="G1608">
        <v>3</v>
      </c>
      <c r="H1608">
        <v>3</v>
      </c>
    </row>
    <row r="1609" spans="1:8" x14ac:dyDescent="0.3">
      <c r="A1609">
        <v>8</v>
      </c>
      <c r="B1609">
        <v>3</v>
      </c>
      <c r="C1609">
        <v>2</v>
      </c>
      <c r="D1609">
        <v>3</v>
      </c>
      <c r="E1609" t="s">
        <v>14</v>
      </c>
      <c r="F1609">
        <v>3</v>
      </c>
      <c r="G1609">
        <v>2</v>
      </c>
      <c r="H1609">
        <v>3</v>
      </c>
    </row>
    <row r="1610" spans="1:8" x14ac:dyDescent="0.3">
      <c r="A1610">
        <v>8</v>
      </c>
      <c r="B1610">
        <v>3</v>
      </c>
      <c r="C1610">
        <v>2</v>
      </c>
      <c r="D1610">
        <v>3</v>
      </c>
      <c r="E1610" t="s">
        <v>14</v>
      </c>
      <c r="F1610">
        <v>3</v>
      </c>
      <c r="G1610">
        <v>2</v>
      </c>
      <c r="H1610">
        <v>3</v>
      </c>
    </row>
    <row r="1611" spans="1:8" x14ac:dyDescent="0.3">
      <c r="A1611">
        <v>2</v>
      </c>
      <c r="B1611">
        <v>0</v>
      </c>
      <c r="C1611">
        <v>1</v>
      </c>
      <c r="D1611">
        <v>1</v>
      </c>
      <c r="E1611" t="s">
        <v>14</v>
      </c>
      <c r="F1611">
        <v>0</v>
      </c>
      <c r="G1611">
        <v>1</v>
      </c>
      <c r="H1611">
        <v>1</v>
      </c>
    </row>
    <row r="1612" spans="1:8" x14ac:dyDescent="0.3">
      <c r="A1612">
        <v>2</v>
      </c>
      <c r="B1612">
        <v>1</v>
      </c>
      <c r="C1612">
        <v>1</v>
      </c>
      <c r="D1612">
        <v>0</v>
      </c>
      <c r="E1612" t="s">
        <v>14</v>
      </c>
      <c r="F1612">
        <v>0</v>
      </c>
      <c r="G1612">
        <v>0</v>
      </c>
      <c r="H1612">
        <v>2</v>
      </c>
    </row>
    <row r="1613" spans="1:8" x14ac:dyDescent="0.3">
      <c r="A1613">
        <v>2</v>
      </c>
      <c r="B1613">
        <v>1</v>
      </c>
      <c r="C1613">
        <v>0</v>
      </c>
      <c r="D1613">
        <v>1</v>
      </c>
      <c r="E1613" t="s">
        <v>14</v>
      </c>
      <c r="F1613">
        <v>2</v>
      </c>
      <c r="G1613">
        <v>0</v>
      </c>
      <c r="H1613">
        <v>0</v>
      </c>
    </row>
    <row r="1614" spans="1:8" x14ac:dyDescent="0.3">
      <c r="A1614">
        <v>3</v>
      </c>
      <c r="B1614">
        <v>1</v>
      </c>
      <c r="C1614">
        <v>1</v>
      </c>
      <c r="D1614">
        <v>1</v>
      </c>
      <c r="E1614" t="s">
        <v>14</v>
      </c>
      <c r="F1614">
        <v>1</v>
      </c>
      <c r="G1614">
        <v>1</v>
      </c>
      <c r="H1614">
        <v>1</v>
      </c>
    </row>
    <row r="1615" spans="1:8" x14ac:dyDescent="0.3">
      <c r="A1615">
        <v>3</v>
      </c>
      <c r="B1615">
        <v>1</v>
      </c>
      <c r="C1615">
        <v>1</v>
      </c>
      <c r="D1615">
        <v>1</v>
      </c>
      <c r="E1615" t="s">
        <v>14</v>
      </c>
      <c r="F1615">
        <v>1</v>
      </c>
      <c r="G1615">
        <v>1</v>
      </c>
      <c r="H1615">
        <v>1</v>
      </c>
    </row>
    <row r="1616" spans="1:8" x14ac:dyDescent="0.3">
      <c r="A1616">
        <v>3</v>
      </c>
      <c r="B1616">
        <v>2</v>
      </c>
      <c r="C1616">
        <v>1</v>
      </c>
      <c r="D1616">
        <v>0</v>
      </c>
      <c r="E1616" t="s">
        <v>14</v>
      </c>
      <c r="F1616">
        <v>2</v>
      </c>
      <c r="G1616">
        <v>1</v>
      </c>
      <c r="H1616">
        <v>0</v>
      </c>
    </row>
    <row r="1617" spans="1:8" x14ac:dyDescent="0.3">
      <c r="A1617">
        <v>3</v>
      </c>
      <c r="B1617">
        <v>1</v>
      </c>
      <c r="C1617">
        <v>1</v>
      </c>
      <c r="D1617">
        <v>1</v>
      </c>
      <c r="E1617" t="s">
        <v>14</v>
      </c>
      <c r="F1617">
        <v>0</v>
      </c>
      <c r="G1617">
        <v>2</v>
      </c>
      <c r="H1617">
        <v>1</v>
      </c>
    </row>
    <row r="1618" spans="1:8" x14ac:dyDescent="0.3">
      <c r="A1618">
        <v>3</v>
      </c>
      <c r="B1618">
        <v>2</v>
      </c>
      <c r="C1618">
        <v>1</v>
      </c>
      <c r="D1618">
        <v>0</v>
      </c>
      <c r="E1618" t="s">
        <v>14</v>
      </c>
      <c r="F1618">
        <v>0</v>
      </c>
      <c r="G1618">
        <v>2</v>
      </c>
      <c r="H1618">
        <v>1</v>
      </c>
    </row>
    <row r="1619" spans="1:8" x14ac:dyDescent="0.3">
      <c r="A1619">
        <v>3</v>
      </c>
      <c r="B1619">
        <v>0</v>
      </c>
      <c r="C1619">
        <v>2</v>
      </c>
      <c r="D1619">
        <v>1</v>
      </c>
      <c r="E1619" t="s">
        <v>14</v>
      </c>
      <c r="F1619">
        <v>0</v>
      </c>
      <c r="G1619">
        <v>2</v>
      </c>
      <c r="H1619">
        <v>1</v>
      </c>
    </row>
    <row r="1620" spans="1:8" x14ac:dyDescent="0.3">
      <c r="A1620">
        <v>3</v>
      </c>
      <c r="B1620">
        <v>1</v>
      </c>
      <c r="C1620">
        <v>1</v>
      </c>
      <c r="D1620">
        <v>1</v>
      </c>
      <c r="E1620" t="s">
        <v>14</v>
      </c>
      <c r="F1620">
        <v>1</v>
      </c>
      <c r="G1620">
        <v>1</v>
      </c>
      <c r="H1620">
        <v>1</v>
      </c>
    </row>
    <row r="1621" spans="1:8" x14ac:dyDescent="0.3">
      <c r="A1621">
        <v>3</v>
      </c>
      <c r="B1621">
        <v>1</v>
      </c>
      <c r="C1621">
        <v>1</v>
      </c>
      <c r="D1621">
        <v>1</v>
      </c>
      <c r="E1621" t="s">
        <v>14</v>
      </c>
      <c r="F1621">
        <v>1</v>
      </c>
      <c r="G1621">
        <v>1</v>
      </c>
      <c r="H1621">
        <v>1</v>
      </c>
    </row>
    <row r="1622" spans="1:8" x14ac:dyDescent="0.3">
      <c r="A1622">
        <v>3</v>
      </c>
      <c r="B1622">
        <v>1</v>
      </c>
      <c r="C1622">
        <v>1</v>
      </c>
      <c r="D1622">
        <v>1</v>
      </c>
      <c r="E1622" t="s">
        <v>14</v>
      </c>
      <c r="F1622">
        <v>0</v>
      </c>
      <c r="G1622">
        <v>2</v>
      </c>
      <c r="H1622">
        <v>1</v>
      </c>
    </row>
    <row r="1623" spans="1:8" x14ac:dyDescent="0.3">
      <c r="A1623">
        <v>3</v>
      </c>
      <c r="B1623">
        <v>0</v>
      </c>
      <c r="C1623">
        <v>2</v>
      </c>
      <c r="D1623">
        <v>1</v>
      </c>
      <c r="E1623" t="s">
        <v>14</v>
      </c>
      <c r="F1623">
        <v>0</v>
      </c>
      <c r="G1623">
        <v>2</v>
      </c>
      <c r="H1623">
        <v>1</v>
      </c>
    </row>
    <row r="1624" spans="1:8" x14ac:dyDescent="0.3">
      <c r="A1624">
        <v>3</v>
      </c>
      <c r="B1624">
        <v>1</v>
      </c>
      <c r="C1624">
        <v>1</v>
      </c>
      <c r="D1624">
        <v>1</v>
      </c>
      <c r="E1624" t="s">
        <v>14</v>
      </c>
      <c r="F1624">
        <v>1</v>
      </c>
      <c r="G1624">
        <v>1</v>
      </c>
      <c r="H1624">
        <v>1</v>
      </c>
    </row>
    <row r="1625" spans="1:8" x14ac:dyDescent="0.3">
      <c r="A1625">
        <v>3</v>
      </c>
      <c r="B1625">
        <v>1</v>
      </c>
      <c r="C1625">
        <v>1</v>
      </c>
      <c r="D1625">
        <v>1</v>
      </c>
      <c r="E1625" t="s">
        <v>14</v>
      </c>
      <c r="F1625">
        <v>0</v>
      </c>
      <c r="G1625">
        <v>2</v>
      </c>
      <c r="H1625">
        <v>1</v>
      </c>
    </row>
    <row r="1626" spans="1:8" x14ac:dyDescent="0.3">
      <c r="A1626">
        <v>3</v>
      </c>
      <c r="B1626">
        <v>1</v>
      </c>
      <c r="C1626">
        <v>1</v>
      </c>
      <c r="D1626">
        <v>1</v>
      </c>
      <c r="E1626" t="s">
        <v>14</v>
      </c>
      <c r="F1626">
        <v>1</v>
      </c>
      <c r="G1626">
        <v>0</v>
      </c>
      <c r="H1626">
        <v>2</v>
      </c>
    </row>
    <row r="1627" spans="1:8" x14ac:dyDescent="0.3">
      <c r="A1627">
        <v>3</v>
      </c>
      <c r="B1627">
        <v>1</v>
      </c>
      <c r="C1627">
        <v>1</v>
      </c>
      <c r="D1627">
        <v>1</v>
      </c>
      <c r="E1627" t="s">
        <v>14</v>
      </c>
      <c r="F1627">
        <v>1</v>
      </c>
      <c r="G1627">
        <v>1</v>
      </c>
      <c r="H1627">
        <v>1</v>
      </c>
    </row>
    <row r="1628" spans="1:8" x14ac:dyDescent="0.3">
      <c r="A1628">
        <v>3</v>
      </c>
      <c r="B1628">
        <v>1</v>
      </c>
      <c r="C1628">
        <v>1</v>
      </c>
      <c r="D1628">
        <v>1</v>
      </c>
      <c r="E1628" t="s">
        <v>14</v>
      </c>
      <c r="F1628">
        <v>1</v>
      </c>
      <c r="G1628">
        <v>1</v>
      </c>
      <c r="H1628">
        <v>1</v>
      </c>
    </row>
    <row r="1629" spans="1:8" x14ac:dyDescent="0.3">
      <c r="A1629">
        <v>3</v>
      </c>
      <c r="B1629">
        <v>1</v>
      </c>
      <c r="C1629">
        <v>1</v>
      </c>
      <c r="D1629">
        <v>1</v>
      </c>
      <c r="E1629" t="s">
        <v>14</v>
      </c>
      <c r="F1629">
        <v>0</v>
      </c>
      <c r="G1629">
        <v>2</v>
      </c>
      <c r="H1629">
        <v>1</v>
      </c>
    </row>
    <row r="1630" spans="1:8" x14ac:dyDescent="0.3">
      <c r="A1630">
        <v>3</v>
      </c>
      <c r="B1630">
        <v>1</v>
      </c>
      <c r="C1630">
        <v>1</v>
      </c>
      <c r="D1630">
        <v>1</v>
      </c>
      <c r="E1630" t="s">
        <v>14</v>
      </c>
      <c r="F1630">
        <v>1</v>
      </c>
      <c r="G1630">
        <v>1</v>
      </c>
      <c r="H1630">
        <v>1</v>
      </c>
    </row>
    <row r="1631" spans="1:8" x14ac:dyDescent="0.3">
      <c r="A1631">
        <v>3</v>
      </c>
      <c r="B1631">
        <v>0</v>
      </c>
      <c r="C1631">
        <v>2</v>
      </c>
      <c r="D1631">
        <v>1</v>
      </c>
      <c r="E1631" t="s">
        <v>14</v>
      </c>
      <c r="F1631">
        <v>0</v>
      </c>
      <c r="G1631">
        <v>2</v>
      </c>
      <c r="H1631">
        <v>1</v>
      </c>
    </row>
    <row r="1632" spans="1:8" x14ac:dyDescent="0.3">
      <c r="A1632">
        <v>3</v>
      </c>
      <c r="B1632">
        <v>1</v>
      </c>
      <c r="C1632">
        <v>1</v>
      </c>
      <c r="D1632">
        <v>1</v>
      </c>
      <c r="E1632" t="s">
        <v>14</v>
      </c>
      <c r="F1632">
        <v>1</v>
      </c>
      <c r="G1632">
        <v>1</v>
      </c>
      <c r="H1632">
        <v>1</v>
      </c>
    </row>
    <row r="1633" spans="1:8" x14ac:dyDescent="0.3">
      <c r="A1633">
        <v>3</v>
      </c>
      <c r="B1633">
        <v>0</v>
      </c>
      <c r="C1633">
        <v>2</v>
      </c>
      <c r="D1633">
        <v>1</v>
      </c>
      <c r="E1633" t="s">
        <v>14</v>
      </c>
      <c r="F1633">
        <v>0</v>
      </c>
      <c r="G1633">
        <v>2</v>
      </c>
      <c r="H1633">
        <v>1</v>
      </c>
    </row>
    <row r="1634" spans="1:8" x14ac:dyDescent="0.3">
      <c r="A1634">
        <v>3</v>
      </c>
      <c r="B1634">
        <v>2</v>
      </c>
      <c r="C1634">
        <v>1</v>
      </c>
      <c r="D1634">
        <v>0</v>
      </c>
      <c r="E1634" t="s">
        <v>14</v>
      </c>
      <c r="F1634">
        <v>2</v>
      </c>
      <c r="G1634">
        <v>1</v>
      </c>
      <c r="H1634">
        <v>0</v>
      </c>
    </row>
    <row r="1635" spans="1:8" x14ac:dyDescent="0.3">
      <c r="A1635">
        <v>3</v>
      </c>
      <c r="B1635">
        <v>1</v>
      </c>
      <c r="C1635">
        <v>1</v>
      </c>
      <c r="D1635">
        <v>1</v>
      </c>
      <c r="E1635" t="s">
        <v>14</v>
      </c>
      <c r="F1635">
        <v>1</v>
      </c>
      <c r="G1635">
        <v>1</v>
      </c>
      <c r="H1635">
        <v>1</v>
      </c>
    </row>
    <row r="1636" spans="1:8" x14ac:dyDescent="0.3">
      <c r="A1636">
        <v>3</v>
      </c>
      <c r="B1636">
        <v>1</v>
      </c>
      <c r="C1636">
        <v>0</v>
      </c>
      <c r="D1636">
        <v>2</v>
      </c>
      <c r="E1636" t="s">
        <v>14</v>
      </c>
      <c r="F1636">
        <v>1</v>
      </c>
      <c r="G1636">
        <v>0</v>
      </c>
      <c r="H1636">
        <v>2</v>
      </c>
    </row>
    <row r="1637" spans="1:8" x14ac:dyDescent="0.3">
      <c r="A1637">
        <v>3</v>
      </c>
      <c r="B1637">
        <v>1</v>
      </c>
      <c r="C1637">
        <v>1</v>
      </c>
      <c r="D1637">
        <v>1</v>
      </c>
      <c r="E1637" t="s">
        <v>14</v>
      </c>
      <c r="F1637">
        <v>1</v>
      </c>
      <c r="G1637">
        <v>1</v>
      </c>
      <c r="H1637">
        <v>1</v>
      </c>
    </row>
    <row r="1638" spans="1:8" x14ac:dyDescent="0.3">
      <c r="A1638">
        <v>3</v>
      </c>
      <c r="B1638">
        <v>1</v>
      </c>
      <c r="C1638">
        <v>1</v>
      </c>
      <c r="D1638">
        <v>1</v>
      </c>
      <c r="E1638" t="s">
        <v>14</v>
      </c>
      <c r="F1638">
        <v>2</v>
      </c>
      <c r="G1638">
        <v>1</v>
      </c>
      <c r="H1638">
        <v>0</v>
      </c>
    </row>
    <row r="1639" spans="1:8" x14ac:dyDescent="0.3">
      <c r="A1639">
        <v>3</v>
      </c>
      <c r="B1639">
        <v>1</v>
      </c>
      <c r="C1639">
        <v>1</v>
      </c>
      <c r="D1639">
        <v>1</v>
      </c>
      <c r="E1639" t="s">
        <v>14</v>
      </c>
      <c r="F1639">
        <v>1</v>
      </c>
      <c r="G1639">
        <v>0</v>
      </c>
      <c r="H1639">
        <v>2</v>
      </c>
    </row>
    <row r="1640" spans="1:8" x14ac:dyDescent="0.3">
      <c r="A1640">
        <v>3</v>
      </c>
      <c r="B1640">
        <v>1</v>
      </c>
      <c r="C1640">
        <v>1</v>
      </c>
      <c r="D1640">
        <v>1</v>
      </c>
      <c r="E1640" t="s">
        <v>14</v>
      </c>
      <c r="F1640">
        <v>1</v>
      </c>
      <c r="G1640">
        <v>1</v>
      </c>
      <c r="H1640">
        <v>1</v>
      </c>
    </row>
    <row r="1641" spans="1:8" x14ac:dyDescent="0.3">
      <c r="A1641">
        <v>3</v>
      </c>
      <c r="B1641">
        <v>1</v>
      </c>
      <c r="C1641">
        <v>1</v>
      </c>
      <c r="D1641">
        <v>1</v>
      </c>
      <c r="E1641" t="s">
        <v>14</v>
      </c>
      <c r="F1641">
        <v>1</v>
      </c>
      <c r="G1641">
        <v>1</v>
      </c>
      <c r="H1641">
        <v>1</v>
      </c>
    </row>
    <row r="1642" spans="1:8" x14ac:dyDescent="0.3">
      <c r="A1642">
        <v>3</v>
      </c>
      <c r="B1642">
        <v>0</v>
      </c>
      <c r="C1642">
        <v>2</v>
      </c>
      <c r="D1642">
        <v>1</v>
      </c>
      <c r="E1642" t="s">
        <v>14</v>
      </c>
      <c r="F1642">
        <v>0</v>
      </c>
      <c r="G1642">
        <v>2</v>
      </c>
      <c r="H1642">
        <v>1</v>
      </c>
    </row>
    <row r="1643" spans="1:8" x14ac:dyDescent="0.3">
      <c r="A1643">
        <v>3</v>
      </c>
      <c r="B1643">
        <v>1</v>
      </c>
      <c r="C1643">
        <v>1</v>
      </c>
      <c r="D1643">
        <v>1</v>
      </c>
      <c r="E1643" t="s">
        <v>14</v>
      </c>
      <c r="F1643">
        <v>1</v>
      </c>
      <c r="G1643">
        <v>1</v>
      </c>
      <c r="H1643">
        <v>1</v>
      </c>
    </row>
    <row r="1644" spans="1:8" x14ac:dyDescent="0.3">
      <c r="A1644">
        <v>3</v>
      </c>
      <c r="B1644">
        <v>0</v>
      </c>
      <c r="C1644">
        <v>2</v>
      </c>
      <c r="D1644">
        <v>1</v>
      </c>
      <c r="E1644" t="s">
        <v>14</v>
      </c>
      <c r="F1644">
        <v>0</v>
      </c>
      <c r="G1644">
        <v>2</v>
      </c>
      <c r="H1644">
        <v>1</v>
      </c>
    </row>
    <row r="1645" spans="1:8" x14ac:dyDescent="0.3">
      <c r="A1645">
        <v>3</v>
      </c>
      <c r="B1645">
        <v>2</v>
      </c>
      <c r="C1645">
        <v>1</v>
      </c>
      <c r="D1645">
        <v>0</v>
      </c>
      <c r="E1645" t="s">
        <v>14</v>
      </c>
      <c r="F1645">
        <v>2</v>
      </c>
      <c r="G1645">
        <v>1</v>
      </c>
      <c r="H1645">
        <v>0</v>
      </c>
    </row>
    <row r="1646" spans="1:8" x14ac:dyDescent="0.3">
      <c r="A1646">
        <v>3</v>
      </c>
      <c r="B1646">
        <v>1</v>
      </c>
      <c r="C1646">
        <v>1</v>
      </c>
      <c r="D1646">
        <v>1</v>
      </c>
      <c r="E1646" t="s">
        <v>14</v>
      </c>
      <c r="F1646">
        <v>1</v>
      </c>
      <c r="G1646">
        <v>0</v>
      </c>
      <c r="H1646">
        <v>2</v>
      </c>
    </row>
    <row r="1647" spans="1:8" x14ac:dyDescent="0.3">
      <c r="A1647">
        <v>3</v>
      </c>
      <c r="B1647">
        <v>1</v>
      </c>
      <c r="C1647">
        <v>1</v>
      </c>
      <c r="D1647">
        <v>1</v>
      </c>
      <c r="E1647" t="s">
        <v>14</v>
      </c>
      <c r="F1647">
        <v>0</v>
      </c>
      <c r="G1647">
        <v>2</v>
      </c>
      <c r="H1647">
        <v>1</v>
      </c>
    </row>
    <row r="1648" spans="1:8" x14ac:dyDescent="0.3">
      <c r="A1648">
        <v>3</v>
      </c>
      <c r="B1648">
        <v>1</v>
      </c>
      <c r="C1648">
        <v>0</v>
      </c>
      <c r="D1648">
        <v>2</v>
      </c>
      <c r="E1648" t="s">
        <v>14</v>
      </c>
      <c r="F1648">
        <v>1</v>
      </c>
      <c r="G1648">
        <v>0</v>
      </c>
      <c r="H1648">
        <v>2</v>
      </c>
    </row>
    <row r="1649" spans="1:8" x14ac:dyDescent="0.3">
      <c r="A1649">
        <v>3</v>
      </c>
      <c r="B1649">
        <v>1</v>
      </c>
      <c r="C1649">
        <v>1</v>
      </c>
      <c r="D1649">
        <v>1</v>
      </c>
      <c r="E1649" t="s">
        <v>14</v>
      </c>
      <c r="F1649">
        <v>2</v>
      </c>
      <c r="G1649">
        <v>1</v>
      </c>
      <c r="H1649">
        <v>0</v>
      </c>
    </row>
    <row r="1650" spans="1:8" x14ac:dyDescent="0.3">
      <c r="A1650">
        <v>3</v>
      </c>
      <c r="B1650">
        <v>1</v>
      </c>
      <c r="C1650">
        <v>1</v>
      </c>
      <c r="D1650">
        <v>1</v>
      </c>
      <c r="E1650" t="s">
        <v>14</v>
      </c>
      <c r="F1650">
        <v>0</v>
      </c>
      <c r="G1650">
        <v>2</v>
      </c>
      <c r="H1650">
        <v>1</v>
      </c>
    </row>
    <row r="1651" spans="1:8" x14ac:dyDescent="0.3">
      <c r="A1651">
        <v>3</v>
      </c>
      <c r="B1651">
        <v>1</v>
      </c>
      <c r="C1651">
        <v>1</v>
      </c>
      <c r="D1651">
        <v>1</v>
      </c>
      <c r="E1651" t="s">
        <v>14</v>
      </c>
      <c r="F1651">
        <v>2</v>
      </c>
      <c r="G1651">
        <v>1</v>
      </c>
      <c r="H1651">
        <v>0</v>
      </c>
    </row>
    <row r="1652" spans="1:8" x14ac:dyDescent="0.3">
      <c r="A1652">
        <v>3</v>
      </c>
      <c r="B1652">
        <v>1</v>
      </c>
      <c r="C1652">
        <v>1</v>
      </c>
      <c r="D1652">
        <v>1</v>
      </c>
      <c r="E1652" t="s">
        <v>14</v>
      </c>
      <c r="F1652">
        <v>2</v>
      </c>
      <c r="G1652">
        <v>1</v>
      </c>
      <c r="H1652">
        <v>0</v>
      </c>
    </row>
    <row r="1653" spans="1:8" x14ac:dyDescent="0.3">
      <c r="A1653">
        <v>3</v>
      </c>
      <c r="B1653">
        <v>1</v>
      </c>
      <c r="C1653">
        <v>1</v>
      </c>
      <c r="D1653">
        <v>1</v>
      </c>
      <c r="E1653" t="s">
        <v>14</v>
      </c>
      <c r="F1653">
        <v>1</v>
      </c>
      <c r="G1653">
        <v>1</v>
      </c>
      <c r="H1653">
        <v>1</v>
      </c>
    </row>
    <row r="1654" spans="1:8" x14ac:dyDescent="0.3">
      <c r="A1654">
        <v>3</v>
      </c>
      <c r="B1654">
        <v>1</v>
      </c>
      <c r="C1654">
        <v>0</v>
      </c>
      <c r="D1654">
        <v>2</v>
      </c>
      <c r="E1654" t="s">
        <v>14</v>
      </c>
      <c r="F1654">
        <v>1</v>
      </c>
      <c r="G1654">
        <v>0</v>
      </c>
      <c r="H1654">
        <v>2</v>
      </c>
    </row>
    <row r="1655" spans="1:8" x14ac:dyDescent="0.3">
      <c r="A1655">
        <v>4</v>
      </c>
      <c r="B1655">
        <v>1</v>
      </c>
      <c r="C1655">
        <v>1</v>
      </c>
      <c r="D1655">
        <v>2</v>
      </c>
      <c r="E1655" t="s">
        <v>14</v>
      </c>
      <c r="F1655">
        <v>1</v>
      </c>
      <c r="G1655">
        <v>1</v>
      </c>
      <c r="H1655">
        <v>2</v>
      </c>
    </row>
    <row r="1656" spans="1:8" x14ac:dyDescent="0.3">
      <c r="A1656">
        <v>4</v>
      </c>
      <c r="B1656">
        <v>1</v>
      </c>
      <c r="C1656">
        <v>1</v>
      </c>
      <c r="D1656">
        <v>2</v>
      </c>
      <c r="E1656" t="s">
        <v>14</v>
      </c>
      <c r="F1656">
        <v>2</v>
      </c>
      <c r="G1656">
        <v>2</v>
      </c>
      <c r="H1656">
        <v>0</v>
      </c>
    </row>
    <row r="1657" spans="1:8" x14ac:dyDescent="0.3">
      <c r="A1657">
        <v>4</v>
      </c>
      <c r="B1657">
        <v>1</v>
      </c>
      <c r="C1657">
        <v>2</v>
      </c>
      <c r="D1657">
        <v>1</v>
      </c>
      <c r="E1657" t="s">
        <v>14</v>
      </c>
      <c r="F1657">
        <v>2</v>
      </c>
      <c r="G1657">
        <v>0</v>
      </c>
      <c r="H1657">
        <v>2</v>
      </c>
    </row>
    <row r="1658" spans="1:8" x14ac:dyDescent="0.3">
      <c r="A1658">
        <v>4</v>
      </c>
      <c r="B1658">
        <v>1</v>
      </c>
      <c r="C1658">
        <v>1</v>
      </c>
      <c r="D1658">
        <v>2</v>
      </c>
      <c r="E1658" t="s">
        <v>14</v>
      </c>
      <c r="F1658">
        <v>2</v>
      </c>
      <c r="G1658">
        <v>2</v>
      </c>
      <c r="H1658">
        <v>0</v>
      </c>
    </row>
    <row r="1659" spans="1:8" x14ac:dyDescent="0.3">
      <c r="A1659">
        <v>4</v>
      </c>
      <c r="B1659">
        <v>1</v>
      </c>
      <c r="C1659">
        <v>1</v>
      </c>
      <c r="D1659">
        <v>2</v>
      </c>
      <c r="E1659" t="s">
        <v>14</v>
      </c>
      <c r="F1659">
        <v>1</v>
      </c>
      <c r="G1659">
        <v>1</v>
      </c>
      <c r="H1659">
        <v>2</v>
      </c>
    </row>
    <row r="1660" spans="1:8" x14ac:dyDescent="0.3">
      <c r="A1660">
        <v>4</v>
      </c>
      <c r="B1660">
        <v>1</v>
      </c>
      <c r="C1660">
        <v>2</v>
      </c>
      <c r="D1660">
        <v>1</v>
      </c>
      <c r="E1660" t="s">
        <v>14</v>
      </c>
      <c r="F1660">
        <v>0</v>
      </c>
      <c r="G1660">
        <v>2</v>
      </c>
      <c r="H1660">
        <v>2</v>
      </c>
    </row>
    <row r="1661" spans="1:8" x14ac:dyDescent="0.3">
      <c r="A1661">
        <v>4</v>
      </c>
      <c r="B1661">
        <v>2</v>
      </c>
      <c r="C1661">
        <v>1</v>
      </c>
      <c r="D1661">
        <v>1</v>
      </c>
      <c r="E1661" t="s">
        <v>14</v>
      </c>
      <c r="F1661">
        <v>2</v>
      </c>
      <c r="G1661">
        <v>1</v>
      </c>
      <c r="H1661">
        <v>1</v>
      </c>
    </row>
    <row r="1662" spans="1:8" x14ac:dyDescent="0.3">
      <c r="A1662">
        <v>4</v>
      </c>
      <c r="B1662">
        <v>1</v>
      </c>
      <c r="C1662">
        <v>1</v>
      </c>
      <c r="D1662">
        <v>2</v>
      </c>
      <c r="E1662" t="s">
        <v>14</v>
      </c>
      <c r="F1662">
        <v>2</v>
      </c>
      <c r="G1662">
        <v>2</v>
      </c>
      <c r="H1662">
        <v>0</v>
      </c>
    </row>
    <row r="1663" spans="1:8" x14ac:dyDescent="0.3">
      <c r="A1663">
        <v>4</v>
      </c>
      <c r="B1663">
        <v>1</v>
      </c>
      <c r="C1663">
        <v>1</v>
      </c>
      <c r="D1663">
        <v>2</v>
      </c>
      <c r="E1663" t="s">
        <v>14</v>
      </c>
      <c r="F1663">
        <v>0</v>
      </c>
      <c r="G1663">
        <v>2</v>
      </c>
      <c r="H1663">
        <v>2</v>
      </c>
    </row>
    <row r="1664" spans="1:8" x14ac:dyDescent="0.3">
      <c r="A1664">
        <v>4</v>
      </c>
      <c r="B1664">
        <v>2</v>
      </c>
      <c r="C1664">
        <v>1</v>
      </c>
      <c r="D1664">
        <v>1</v>
      </c>
      <c r="E1664" t="s">
        <v>14</v>
      </c>
      <c r="F1664">
        <v>2</v>
      </c>
      <c r="G1664">
        <v>0</v>
      </c>
      <c r="H1664">
        <v>2</v>
      </c>
    </row>
    <row r="1665" spans="1:8" x14ac:dyDescent="0.3">
      <c r="A1665">
        <v>5</v>
      </c>
      <c r="B1665">
        <v>2</v>
      </c>
      <c r="C1665">
        <v>2</v>
      </c>
      <c r="D1665">
        <v>1</v>
      </c>
      <c r="E1665" t="s">
        <v>14</v>
      </c>
      <c r="F1665">
        <v>2</v>
      </c>
      <c r="G1665">
        <v>2</v>
      </c>
      <c r="H1665">
        <v>1</v>
      </c>
    </row>
    <row r="1666" spans="1:8" x14ac:dyDescent="0.3">
      <c r="A1666">
        <v>5</v>
      </c>
      <c r="B1666">
        <v>1</v>
      </c>
      <c r="C1666">
        <v>2</v>
      </c>
      <c r="D1666">
        <v>2</v>
      </c>
      <c r="E1666" t="s">
        <v>14</v>
      </c>
      <c r="F1666">
        <v>3</v>
      </c>
      <c r="G1666">
        <v>0</v>
      </c>
      <c r="H1666">
        <v>2</v>
      </c>
    </row>
    <row r="1667" spans="1:8" x14ac:dyDescent="0.3">
      <c r="A1667">
        <v>5</v>
      </c>
      <c r="B1667">
        <v>1</v>
      </c>
      <c r="C1667">
        <v>2</v>
      </c>
      <c r="D1667">
        <v>2</v>
      </c>
      <c r="E1667" t="s">
        <v>14</v>
      </c>
      <c r="F1667">
        <v>1</v>
      </c>
      <c r="G1667">
        <v>2</v>
      </c>
      <c r="H1667">
        <v>2</v>
      </c>
    </row>
    <row r="1668" spans="1:8" x14ac:dyDescent="0.3">
      <c r="A1668">
        <v>5</v>
      </c>
      <c r="B1668">
        <v>2</v>
      </c>
      <c r="C1668">
        <v>1</v>
      </c>
      <c r="D1668">
        <v>2</v>
      </c>
      <c r="E1668" t="s">
        <v>14</v>
      </c>
      <c r="F1668">
        <v>2</v>
      </c>
      <c r="G1668">
        <v>1</v>
      </c>
      <c r="H1668">
        <v>2</v>
      </c>
    </row>
    <row r="1669" spans="1:8" x14ac:dyDescent="0.3">
      <c r="A1669">
        <v>5</v>
      </c>
      <c r="B1669">
        <v>2</v>
      </c>
      <c r="C1669">
        <v>2</v>
      </c>
      <c r="D1669">
        <v>1</v>
      </c>
      <c r="E1669" t="s">
        <v>14</v>
      </c>
      <c r="F1669">
        <v>0</v>
      </c>
      <c r="G1669">
        <v>2</v>
      </c>
      <c r="H1669">
        <v>3</v>
      </c>
    </row>
    <row r="1670" spans="1:8" x14ac:dyDescent="0.3">
      <c r="A1670">
        <v>5</v>
      </c>
      <c r="B1670">
        <v>1</v>
      </c>
      <c r="C1670">
        <v>2</v>
      </c>
      <c r="D1670">
        <v>2</v>
      </c>
      <c r="E1670" t="s">
        <v>14</v>
      </c>
      <c r="F1670">
        <v>2</v>
      </c>
      <c r="G1670">
        <v>3</v>
      </c>
      <c r="H1670">
        <v>0</v>
      </c>
    </row>
    <row r="1671" spans="1:8" x14ac:dyDescent="0.3">
      <c r="A1671">
        <v>5</v>
      </c>
      <c r="B1671">
        <v>2</v>
      </c>
      <c r="C1671">
        <v>1</v>
      </c>
      <c r="D1671">
        <v>2</v>
      </c>
      <c r="E1671" t="s">
        <v>14</v>
      </c>
      <c r="F1671">
        <v>2</v>
      </c>
      <c r="G1671">
        <v>3</v>
      </c>
      <c r="H1671">
        <v>0</v>
      </c>
    </row>
    <row r="1672" spans="1:8" x14ac:dyDescent="0.3">
      <c r="A1672">
        <v>6</v>
      </c>
      <c r="B1672">
        <v>2</v>
      </c>
      <c r="C1672">
        <v>3</v>
      </c>
      <c r="D1672">
        <v>1</v>
      </c>
      <c r="E1672" t="s">
        <v>14</v>
      </c>
      <c r="F1672">
        <v>2</v>
      </c>
      <c r="G1672">
        <v>3</v>
      </c>
      <c r="H1672">
        <v>1</v>
      </c>
    </row>
    <row r="1673" spans="1:8" x14ac:dyDescent="0.3">
      <c r="A1673">
        <v>6</v>
      </c>
      <c r="B1673">
        <v>2</v>
      </c>
      <c r="C1673">
        <v>2</v>
      </c>
      <c r="D1673">
        <v>2</v>
      </c>
      <c r="E1673" t="s">
        <v>14</v>
      </c>
      <c r="F1673">
        <v>2</v>
      </c>
      <c r="G1673">
        <v>2</v>
      </c>
      <c r="H1673">
        <v>2</v>
      </c>
    </row>
    <row r="1674" spans="1:8" x14ac:dyDescent="0.3">
      <c r="A1674">
        <v>6</v>
      </c>
      <c r="B1674">
        <v>3</v>
      </c>
      <c r="C1674">
        <v>1</v>
      </c>
      <c r="D1674">
        <v>2</v>
      </c>
      <c r="E1674" t="s">
        <v>14</v>
      </c>
      <c r="F1674">
        <v>3</v>
      </c>
      <c r="G1674">
        <v>1</v>
      </c>
      <c r="H1674">
        <v>2</v>
      </c>
    </row>
    <row r="1675" spans="1:8" x14ac:dyDescent="0.3">
      <c r="A1675">
        <v>7</v>
      </c>
      <c r="B1675">
        <v>2</v>
      </c>
      <c r="C1675">
        <v>2</v>
      </c>
      <c r="D1675">
        <v>3</v>
      </c>
      <c r="E1675" t="s">
        <v>14</v>
      </c>
      <c r="F1675">
        <v>2</v>
      </c>
      <c r="G1675">
        <v>2</v>
      </c>
      <c r="H1675">
        <v>3</v>
      </c>
    </row>
    <row r="1676" spans="1:8" x14ac:dyDescent="0.3">
      <c r="A1676">
        <v>7</v>
      </c>
      <c r="B1676">
        <v>2</v>
      </c>
      <c r="C1676">
        <v>2</v>
      </c>
      <c r="D1676">
        <v>3</v>
      </c>
      <c r="E1676" t="s">
        <v>14</v>
      </c>
      <c r="F1676">
        <v>2</v>
      </c>
      <c r="G1676">
        <v>2</v>
      </c>
      <c r="H1676">
        <v>3</v>
      </c>
    </row>
    <row r="1677" spans="1:8" x14ac:dyDescent="0.3">
      <c r="A1677">
        <v>8</v>
      </c>
      <c r="B1677">
        <v>3</v>
      </c>
      <c r="C1677">
        <v>3</v>
      </c>
      <c r="D1677">
        <v>2</v>
      </c>
      <c r="E1677" t="s">
        <v>14</v>
      </c>
      <c r="F1677">
        <v>3</v>
      </c>
      <c r="G1677">
        <v>3</v>
      </c>
      <c r="H1677">
        <v>2</v>
      </c>
    </row>
    <row r="1678" spans="1:8" x14ac:dyDescent="0.3">
      <c r="A1678">
        <v>8</v>
      </c>
      <c r="B1678">
        <v>3</v>
      </c>
      <c r="C1678">
        <v>3</v>
      </c>
      <c r="D1678">
        <v>2</v>
      </c>
      <c r="E1678" t="s">
        <v>14</v>
      </c>
      <c r="F1678">
        <v>3</v>
      </c>
      <c r="G1678">
        <v>3</v>
      </c>
      <c r="H1678">
        <v>2</v>
      </c>
    </row>
    <row r="1679" spans="1:8" x14ac:dyDescent="0.3">
      <c r="A1679">
        <v>8</v>
      </c>
      <c r="B1679">
        <v>3</v>
      </c>
      <c r="C1679">
        <v>2</v>
      </c>
      <c r="D1679">
        <v>3</v>
      </c>
      <c r="E1679" t="s">
        <v>14</v>
      </c>
      <c r="F1679">
        <v>3</v>
      </c>
      <c r="G1679">
        <v>2</v>
      </c>
      <c r="H1679">
        <v>3</v>
      </c>
    </row>
    <row r="1680" spans="1:8" x14ac:dyDescent="0.3">
      <c r="A1680">
        <v>8</v>
      </c>
      <c r="B1680">
        <v>3</v>
      </c>
      <c r="C1680">
        <v>2</v>
      </c>
      <c r="D1680">
        <v>3</v>
      </c>
      <c r="E1680" t="s">
        <v>14</v>
      </c>
      <c r="F1680">
        <v>3</v>
      </c>
      <c r="G1680">
        <v>2</v>
      </c>
      <c r="H1680">
        <v>3</v>
      </c>
    </row>
    <row r="1681" spans="1:8" x14ac:dyDescent="0.3">
      <c r="A1681">
        <v>2</v>
      </c>
      <c r="B1681">
        <v>1</v>
      </c>
      <c r="C1681">
        <v>1</v>
      </c>
      <c r="D1681">
        <v>0</v>
      </c>
      <c r="E1681" t="s">
        <v>14</v>
      </c>
      <c r="F1681">
        <v>2</v>
      </c>
      <c r="G1681">
        <v>0</v>
      </c>
      <c r="H1681">
        <v>0</v>
      </c>
    </row>
    <row r="1682" spans="1:8" x14ac:dyDescent="0.3">
      <c r="A1682">
        <v>2</v>
      </c>
      <c r="B1682">
        <v>1</v>
      </c>
      <c r="C1682">
        <v>0</v>
      </c>
      <c r="D1682">
        <v>1</v>
      </c>
      <c r="E1682" t="s">
        <v>14</v>
      </c>
      <c r="F1682">
        <v>1</v>
      </c>
      <c r="G1682">
        <v>0</v>
      </c>
      <c r="H1682">
        <v>1</v>
      </c>
    </row>
    <row r="1683" spans="1:8" x14ac:dyDescent="0.3">
      <c r="A1683">
        <v>2</v>
      </c>
      <c r="B1683">
        <v>1</v>
      </c>
      <c r="C1683">
        <v>1</v>
      </c>
      <c r="D1683">
        <v>0</v>
      </c>
      <c r="E1683" t="s">
        <v>14</v>
      </c>
      <c r="F1683">
        <v>1</v>
      </c>
      <c r="G1683">
        <v>1</v>
      </c>
      <c r="H1683">
        <v>0</v>
      </c>
    </row>
    <row r="1684" spans="1:8" x14ac:dyDescent="0.3">
      <c r="A1684">
        <v>2</v>
      </c>
      <c r="B1684">
        <v>1</v>
      </c>
      <c r="C1684">
        <v>1</v>
      </c>
      <c r="D1684">
        <v>0</v>
      </c>
      <c r="E1684" t="s">
        <v>14</v>
      </c>
      <c r="F1684">
        <v>0</v>
      </c>
      <c r="G1684">
        <v>0</v>
      </c>
      <c r="H1684">
        <v>2</v>
      </c>
    </row>
    <row r="1685" spans="1:8" x14ac:dyDescent="0.3">
      <c r="A1685">
        <v>2</v>
      </c>
      <c r="B1685">
        <v>1</v>
      </c>
      <c r="C1685">
        <v>0</v>
      </c>
      <c r="D1685">
        <v>1</v>
      </c>
      <c r="E1685" t="s">
        <v>14</v>
      </c>
      <c r="F1685">
        <v>0</v>
      </c>
      <c r="G1685">
        <v>2</v>
      </c>
      <c r="H1685">
        <v>0</v>
      </c>
    </row>
    <row r="1686" spans="1:8" x14ac:dyDescent="0.3">
      <c r="A1686">
        <v>2</v>
      </c>
      <c r="B1686">
        <v>0</v>
      </c>
      <c r="C1686">
        <v>1</v>
      </c>
      <c r="D1686">
        <v>1</v>
      </c>
      <c r="E1686" t="s">
        <v>14</v>
      </c>
      <c r="F1686">
        <v>0</v>
      </c>
      <c r="G1686">
        <v>0</v>
      </c>
      <c r="H1686">
        <v>2</v>
      </c>
    </row>
    <row r="1687" spans="1:8" x14ac:dyDescent="0.3">
      <c r="A1687">
        <v>3</v>
      </c>
      <c r="B1687">
        <v>1</v>
      </c>
      <c r="C1687">
        <v>1</v>
      </c>
      <c r="D1687">
        <v>1</v>
      </c>
      <c r="E1687" t="s">
        <v>14</v>
      </c>
      <c r="F1687">
        <v>0</v>
      </c>
      <c r="G1687">
        <v>2</v>
      </c>
      <c r="H1687">
        <v>1</v>
      </c>
    </row>
    <row r="1688" spans="1:8" x14ac:dyDescent="0.3">
      <c r="A1688">
        <v>3</v>
      </c>
      <c r="B1688">
        <v>0</v>
      </c>
      <c r="C1688">
        <v>2</v>
      </c>
      <c r="D1688">
        <v>1</v>
      </c>
      <c r="E1688" t="s">
        <v>14</v>
      </c>
      <c r="F1688">
        <v>0</v>
      </c>
      <c r="G1688">
        <v>2</v>
      </c>
      <c r="H1688">
        <v>1</v>
      </c>
    </row>
    <row r="1689" spans="1:8" x14ac:dyDescent="0.3">
      <c r="A1689">
        <v>3</v>
      </c>
      <c r="B1689">
        <v>1</v>
      </c>
      <c r="C1689">
        <v>1</v>
      </c>
      <c r="D1689">
        <v>1</v>
      </c>
      <c r="E1689" t="s">
        <v>14</v>
      </c>
      <c r="F1689">
        <v>2</v>
      </c>
      <c r="G1689">
        <v>1</v>
      </c>
      <c r="H1689">
        <v>0</v>
      </c>
    </row>
    <row r="1690" spans="1:8" x14ac:dyDescent="0.3">
      <c r="A1690">
        <v>3</v>
      </c>
      <c r="B1690">
        <v>1</v>
      </c>
      <c r="C1690">
        <v>1</v>
      </c>
      <c r="D1690">
        <v>1</v>
      </c>
      <c r="E1690" t="s">
        <v>14</v>
      </c>
      <c r="F1690">
        <v>1</v>
      </c>
      <c r="G1690">
        <v>0</v>
      </c>
      <c r="H1690">
        <v>2</v>
      </c>
    </row>
    <row r="1691" spans="1:8" x14ac:dyDescent="0.3">
      <c r="A1691">
        <v>3</v>
      </c>
      <c r="B1691">
        <v>1</v>
      </c>
      <c r="C1691">
        <v>1</v>
      </c>
      <c r="D1691">
        <v>1</v>
      </c>
      <c r="E1691" t="s">
        <v>14</v>
      </c>
      <c r="F1691">
        <v>1</v>
      </c>
      <c r="G1691">
        <v>0</v>
      </c>
      <c r="H1691">
        <v>2</v>
      </c>
    </row>
    <row r="1692" spans="1:8" x14ac:dyDescent="0.3">
      <c r="A1692">
        <v>3</v>
      </c>
      <c r="B1692">
        <v>1</v>
      </c>
      <c r="C1692">
        <v>1</v>
      </c>
      <c r="D1692">
        <v>1</v>
      </c>
      <c r="E1692" t="s">
        <v>14</v>
      </c>
      <c r="F1692">
        <v>1</v>
      </c>
      <c r="G1692">
        <v>1</v>
      </c>
      <c r="H1692">
        <v>1</v>
      </c>
    </row>
    <row r="1693" spans="1:8" x14ac:dyDescent="0.3">
      <c r="A1693">
        <v>3</v>
      </c>
      <c r="B1693">
        <v>1</v>
      </c>
      <c r="C1693">
        <v>0</v>
      </c>
      <c r="D1693">
        <v>2</v>
      </c>
      <c r="E1693" t="s">
        <v>14</v>
      </c>
      <c r="F1693">
        <v>2</v>
      </c>
      <c r="G1693">
        <v>1</v>
      </c>
      <c r="H1693">
        <v>0</v>
      </c>
    </row>
    <row r="1694" spans="1:8" x14ac:dyDescent="0.3">
      <c r="A1694">
        <v>3</v>
      </c>
      <c r="B1694">
        <v>0</v>
      </c>
      <c r="C1694">
        <v>2</v>
      </c>
      <c r="D1694">
        <v>1</v>
      </c>
      <c r="E1694" t="s">
        <v>14</v>
      </c>
      <c r="F1694">
        <v>0</v>
      </c>
      <c r="G1694">
        <v>2</v>
      </c>
      <c r="H1694">
        <v>1</v>
      </c>
    </row>
    <row r="1695" spans="1:8" x14ac:dyDescent="0.3">
      <c r="A1695">
        <v>3</v>
      </c>
      <c r="B1695">
        <v>2</v>
      </c>
      <c r="C1695">
        <v>1</v>
      </c>
      <c r="D1695">
        <v>0</v>
      </c>
      <c r="E1695" t="s">
        <v>14</v>
      </c>
      <c r="F1695">
        <v>2</v>
      </c>
      <c r="G1695">
        <v>1</v>
      </c>
      <c r="H1695">
        <v>0</v>
      </c>
    </row>
    <row r="1696" spans="1:8" x14ac:dyDescent="0.3">
      <c r="A1696">
        <v>3</v>
      </c>
      <c r="B1696">
        <v>1</v>
      </c>
      <c r="C1696">
        <v>1</v>
      </c>
      <c r="D1696">
        <v>1</v>
      </c>
      <c r="E1696" t="s">
        <v>14</v>
      </c>
      <c r="F1696">
        <v>1</v>
      </c>
      <c r="G1696">
        <v>1</v>
      </c>
      <c r="H1696">
        <v>1</v>
      </c>
    </row>
    <row r="1697" spans="1:8" x14ac:dyDescent="0.3">
      <c r="A1697">
        <v>3</v>
      </c>
      <c r="B1697">
        <v>2</v>
      </c>
      <c r="C1697">
        <v>1</v>
      </c>
      <c r="D1697">
        <v>0</v>
      </c>
      <c r="E1697" t="s">
        <v>14</v>
      </c>
      <c r="F1697">
        <v>2</v>
      </c>
      <c r="G1697">
        <v>1</v>
      </c>
      <c r="H1697">
        <v>0</v>
      </c>
    </row>
    <row r="1698" spans="1:8" x14ac:dyDescent="0.3">
      <c r="A1698">
        <v>3</v>
      </c>
      <c r="B1698">
        <v>0</v>
      </c>
      <c r="C1698">
        <v>2</v>
      </c>
      <c r="D1698">
        <v>1</v>
      </c>
      <c r="E1698" t="s">
        <v>14</v>
      </c>
      <c r="F1698">
        <v>1</v>
      </c>
      <c r="G1698">
        <v>0</v>
      </c>
      <c r="H1698">
        <v>2</v>
      </c>
    </row>
    <row r="1699" spans="1:8" x14ac:dyDescent="0.3">
      <c r="A1699">
        <v>3</v>
      </c>
      <c r="B1699">
        <v>2</v>
      </c>
      <c r="C1699">
        <v>1</v>
      </c>
      <c r="D1699">
        <v>0</v>
      </c>
      <c r="E1699" t="s">
        <v>14</v>
      </c>
      <c r="F1699">
        <v>2</v>
      </c>
      <c r="G1699">
        <v>1</v>
      </c>
      <c r="H1699">
        <v>0</v>
      </c>
    </row>
    <row r="1700" spans="1:8" x14ac:dyDescent="0.3">
      <c r="A1700">
        <v>3</v>
      </c>
      <c r="B1700">
        <v>1</v>
      </c>
      <c r="C1700">
        <v>1</v>
      </c>
      <c r="D1700">
        <v>1</v>
      </c>
      <c r="E1700" t="s">
        <v>14</v>
      </c>
      <c r="F1700">
        <v>1</v>
      </c>
      <c r="G1700">
        <v>1</v>
      </c>
      <c r="H1700">
        <v>1</v>
      </c>
    </row>
    <row r="1701" spans="1:8" x14ac:dyDescent="0.3">
      <c r="A1701">
        <v>3</v>
      </c>
      <c r="B1701">
        <v>1</v>
      </c>
      <c r="C1701">
        <v>1</v>
      </c>
      <c r="D1701">
        <v>1</v>
      </c>
      <c r="E1701" t="s">
        <v>14</v>
      </c>
      <c r="F1701">
        <v>1</v>
      </c>
      <c r="G1701">
        <v>1</v>
      </c>
      <c r="H1701">
        <v>1</v>
      </c>
    </row>
    <row r="1702" spans="1:8" x14ac:dyDescent="0.3">
      <c r="A1702">
        <v>3</v>
      </c>
      <c r="B1702">
        <v>1</v>
      </c>
      <c r="C1702">
        <v>1</v>
      </c>
      <c r="D1702">
        <v>1</v>
      </c>
      <c r="E1702" t="s">
        <v>14</v>
      </c>
      <c r="F1702">
        <v>1</v>
      </c>
      <c r="G1702">
        <v>1</v>
      </c>
      <c r="H1702">
        <v>1</v>
      </c>
    </row>
    <row r="1703" spans="1:8" x14ac:dyDescent="0.3">
      <c r="A1703">
        <v>3</v>
      </c>
      <c r="B1703">
        <v>1</v>
      </c>
      <c r="C1703">
        <v>1</v>
      </c>
      <c r="D1703">
        <v>1</v>
      </c>
      <c r="E1703" t="s">
        <v>14</v>
      </c>
      <c r="F1703">
        <v>2</v>
      </c>
      <c r="G1703">
        <v>1</v>
      </c>
      <c r="H1703">
        <v>0</v>
      </c>
    </row>
    <row r="1704" spans="1:8" x14ac:dyDescent="0.3">
      <c r="A1704">
        <v>3</v>
      </c>
      <c r="B1704">
        <v>1</v>
      </c>
      <c r="C1704">
        <v>0</v>
      </c>
      <c r="D1704">
        <v>2</v>
      </c>
      <c r="E1704" t="s">
        <v>14</v>
      </c>
      <c r="F1704">
        <v>1</v>
      </c>
      <c r="G1704">
        <v>0</v>
      </c>
      <c r="H1704">
        <v>2</v>
      </c>
    </row>
    <row r="1705" spans="1:8" x14ac:dyDescent="0.3">
      <c r="A1705">
        <v>3</v>
      </c>
      <c r="B1705">
        <v>1</v>
      </c>
      <c r="C1705">
        <v>1</v>
      </c>
      <c r="D1705">
        <v>1</v>
      </c>
      <c r="E1705" t="s">
        <v>14</v>
      </c>
      <c r="F1705">
        <v>0</v>
      </c>
      <c r="G1705">
        <v>2</v>
      </c>
      <c r="H1705">
        <v>1</v>
      </c>
    </row>
    <row r="1706" spans="1:8" x14ac:dyDescent="0.3">
      <c r="A1706">
        <v>3</v>
      </c>
      <c r="B1706">
        <v>1</v>
      </c>
      <c r="C1706">
        <v>1</v>
      </c>
      <c r="D1706">
        <v>1</v>
      </c>
      <c r="E1706" t="s">
        <v>14</v>
      </c>
      <c r="F1706">
        <v>1</v>
      </c>
      <c r="G1706">
        <v>1</v>
      </c>
      <c r="H1706">
        <v>1</v>
      </c>
    </row>
    <row r="1707" spans="1:8" x14ac:dyDescent="0.3">
      <c r="A1707">
        <v>3</v>
      </c>
      <c r="B1707">
        <v>1</v>
      </c>
      <c r="C1707">
        <v>1</v>
      </c>
      <c r="D1707">
        <v>1</v>
      </c>
      <c r="E1707" t="s">
        <v>14</v>
      </c>
      <c r="F1707">
        <v>1</v>
      </c>
      <c r="G1707">
        <v>1</v>
      </c>
      <c r="H1707">
        <v>1</v>
      </c>
    </row>
    <row r="1708" spans="1:8" x14ac:dyDescent="0.3">
      <c r="A1708">
        <v>3</v>
      </c>
      <c r="B1708">
        <v>1</v>
      </c>
      <c r="C1708">
        <v>0</v>
      </c>
      <c r="D1708">
        <v>2</v>
      </c>
      <c r="E1708" t="s">
        <v>14</v>
      </c>
      <c r="F1708">
        <v>1</v>
      </c>
      <c r="G1708">
        <v>0</v>
      </c>
      <c r="H1708">
        <v>2</v>
      </c>
    </row>
    <row r="1709" spans="1:8" x14ac:dyDescent="0.3">
      <c r="A1709">
        <v>3</v>
      </c>
      <c r="B1709">
        <v>1</v>
      </c>
      <c r="C1709">
        <v>0</v>
      </c>
      <c r="D1709">
        <v>2</v>
      </c>
      <c r="E1709" t="s">
        <v>14</v>
      </c>
      <c r="F1709">
        <v>1</v>
      </c>
      <c r="G1709">
        <v>0</v>
      </c>
      <c r="H1709">
        <v>2</v>
      </c>
    </row>
    <row r="1710" spans="1:8" x14ac:dyDescent="0.3">
      <c r="A1710">
        <v>3</v>
      </c>
      <c r="B1710">
        <v>1</v>
      </c>
      <c r="C1710">
        <v>1</v>
      </c>
      <c r="D1710">
        <v>1</v>
      </c>
      <c r="E1710" t="s">
        <v>14</v>
      </c>
      <c r="F1710">
        <v>1</v>
      </c>
      <c r="G1710">
        <v>0</v>
      </c>
      <c r="H1710">
        <v>2</v>
      </c>
    </row>
    <row r="1711" spans="1:8" x14ac:dyDescent="0.3">
      <c r="A1711">
        <v>3</v>
      </c>
      <c r="B1711">
        <v>1</v>
      </c>
      <c r="C1711">
        <v>1</v>
      </c>
      <c r="D1711">
        <v>1</v>
      </c>
      <c r="E1711" t="s">
        <v>14</v>
      </c>
      <c r="F1711">
        <v>2</v>
      </c>
      <c r="G1711">
        <v>1</v>
      </c>
      <c r="H1711">
        <v>0</v>
      </c>
    </row>
    <row r="1712" spans="1:8" x14ac:dyDescent="0.3">
      <c r="A1712">
        <v>3</v>
      </c>
      <c r="B1712">
        <v>2</v>
      </c>
      <c r="C1712">
        <v>1</v>
      </c>
      <c r="D1712">
        <v>0</v>
      </c>
      <c r="E1712" t="s">
        <v>14</v>
      </c>
      <c r="F1712">
        <v>2</v>
      </c>
      <c r="G1712">
        <v>1</v>
      </c>
      <c r="H1712">
        <v>0</v>
      </c>
    </row>
    <row r="1713" spans="1:8" x14ac:dyDescent="0.3">
      <c r="A1713">
        <v>3</v>
      </c>
      <c r="B1713">
        <v>1</v>
      </c>
      <c r="C1713">
        <v>1</v>
      </c>
      <c r="D1713">
        <v>1</v>
      </c>
      <c r="E1713" t="s">
        <v>14</v>
      </c>
      <c r="F1713">
        <v>0</v>
      </c>
      <c r="G1713">
        <v>2</v>
      </c>
      <c r="H1713">
        <v>1</v>
      </c>
    </row>
    <row r="1714" spans="1:8" x14ac:dyDescent="0.3">
      <c r="A1714">
        <v>3</v>
      </c>
      <c r="B1714">
        <v>1</v>
      </c>
      <c r="C1714">
        <v>1</v>
      </c>
      <c r="D1714">
        <v>1</v>
      </c>
      <c r="E1714" t="s">
        <v>14</v>
      </c>
      <c r="F1714">
        <v>1</v>
      </c>
      <c r="G1714">
        <v>1</v>
      </c>
      <c r="H1714">
        <v>1</v>
      </c>
    </row>
    <row r="1715" spans="1:8" x14ac:dyDescent="0.3">
      <c r="A1715">
        <v>3</v>
      </c>
      <c r="B1715">
        <v>2</v>
      </c>
      <c r="C1715">
        <v>1</v>
      </c>
      <c r="D1715">
        <v>0</v>
      </c>
      <c r="E1715" t="s">
        <v>14</v>
      </c>
      <c r="F1715">
        <v>0</v>
      </c>
      <c r="G1715">
        <v>2</v>
      </c>
      <c r="H1715">
        <v>1</v>
      </c>
    </row>
    <row r="1716" spans="1:8" x14ac:dyDescent="0.3">
      <c r="A1716">
        <v>3</v>
      </c>
      <c r="B1716">
        <v>1</v>
      </c>
      <c r="C1716">
        <v>1</v>
      </c>
      <c r="D1716">
        <v>1</v>
      </c>
      <c r="E1716" t="s">
        <v>14</v>
      </c>
      <c r="F1716">
        <v>2</v>
      </c>
      <c r="G1716">
        <v>1</v>
      </c>
      <c r="H1716">
        <v>0</v>
      </c>
    </row>
    <row r="1717" spans="1:8" x14ac:dyDescent="0.3">
      <c r="A1717">
        <v>3</v>
      </c>
      <c r="B1717">
        <v>1</v>
      </c>
      <c r="C1717">
        <v>0</v>
      </c>
      <c r="D1717">
        <v>2</v>
      </c>
      <c r="E1717" t="s">
        <v>14</v>
      </c>
      <c r="F1717">
        <v>0</v>
      </c>
      <c r="G1717">
        <v>2</v>
      </c>
      <c r="H1717">
        <v>1</v>
      </c>
    </row>
    <row r="1718" spans="1:8" x14ac:dyDescent="0.3">
      <c r="A1718">
        <v>3</v>
      </c>
      <c r="B1718">
        <v>1</v>
      </c>
      <c r="C1718">
        <v>1</v>
      </c>
      <c r="D1718">
        <v>1</v>
      </c>
      <c r="E1718" t="s">
        <v>14</v>
      </c>
      <c r="F1718">
        <v>1</v>
      </c>
      <c r="G1718">
        <v>1</v>
      </c>
      <c r="H1718">
        <v>1</v>
      </c>
    </row>
    <row r="1719" spans="1:8" x14ac:dyDescent="0.3">
      <c r="A1719">
        <v>3</v>
      </c>
      <c r="B1719">
        <v>1</v>
      </c>
      <c r="C1719">
        <v>1</v>
      </c>
      <c r="D1719">
        <v>1</v>
      </c>
      <c r="E1719" t="s">
        <v>14</v>
      </c>
      <c r="F1719">
        <v>2</v>
      </c>
      <c r="G1719">
        <v>1</v>
      </c>
      <c r="H1719">
        <v>0</v>
      </c>
    </row>
    <row r="1720" spans="1:8" x14ac:dyDescent="0.3">
      <c r="A1720">
        <v>3</v>
      </c>
      <c r="B1720">
        <v>1</v>
      </c>
      <c r="C1720">
        <v>1</v>
      </c>
      <c r="D1720">
        <v>1</v>
      </c>
      <c r="E1720" t="s">
        <v>14</v>
      </c>
      <c r="F1720">
        <v>1</v>
      </c>
      <c r="G1720">
        <v>1</v>
      </c>
      <c r="H1720">
        <v>1</v>
      </c>
    </row>
    <row r="1721" spans="1:8" x14ac:dyDescent="0.3">
      <c r="A1721">
        <v>3</v>
      </c>
      <c r="B1721">
        <v>1</v>
      </c>
      <c r="C1721">
        <v>1</v>
      </c>
      <c r="D1721">
        <v>1</v>
      </c>
      <c r="E1721" t="s">
        <v>14</v>
      </c>
      <c r="F1721">
        <v>2</v>
      </c>
      <c r="G1721">
        <v>1</v>
      </c>
      <c r="H1721">
        <v>0</v>
      </c>
    </row>
    <row r="1722" spans="1:8" x14ac:dyDescent="0.3">
      <c r="A1722">
        <v>3</v>
      </c>
      <c r="B1722">
        <v>1</v>
      </c>
      <c r="C1722">
        <v>1</v>
      </c>
      <c r="D1722">
        <v>1</v>
      </c>
      <c r="E1722" t="s">
        <v>14</v>
      </c>
      <c r="F1722">
        <v>1</v>
      </c>
      <c r="G1722">
        <v>1</v>
      </c>
      <c r="H1722">
        <v>1</v>
      </c>
    </row>
    <row r="1723" spans="1:8" x14ac:dyDescent="0.3">
      <c r="A1723">
        <v>3</v>
      </c>
      <c r="B1723">
        <v>1</v>
      </c>
      <c r="C1723">
        <v>1</v>
      </c>
      <c r="D1723">
        <v>1</v>
      </c>
      <c r="E1723" t="s">
        <v>14</v>
      </c>
      <c r="F1723">
        <v>1</v>
      </c>
      <c r="G1723">
        <v>1</v>
      </c>
      <c r="H1723">
        <v>1</v>
      </c>
    </row>
    <row r="1724" spans="1:8" x14ac:dyDescent="0.3">
      <c r="A1724">
        <v>3</v>
      </c>
      <c r="B1724">
        <v>1</v>
      </c>
      <c r="C1724">
        <v>1</v>
      </c>
      <c r="D1724">
        <v>1</v>
      </c>
      <c r="E1724" t="s">
        <v>14</v>
      </c>
      <c r="F1724">
        <v>1</v>
      </c>
      <c r="G1724">
        <v>0</v>
      </c>
      <c r="H1724">
        <v>2</v>
      </c>
    </row>
    <row r="1725" spans="1:8" x14ac:dyDescent="0.3">
      <c r="A1725">
        <v>3</v>
      </c>
      <c r="B1725">
        <v>2</v>
      </c>
      <c r="C1725">
        <v>1</v>
      </c>
      <c r="D1725">
        <v>0</v>
      </c>
      <c r="E1725" t="s">
        <v>14</v>
      </c>
      <c r="F1725">
        <v>2</v>
      </c>
      <c r="G1725">
        <v>1</v>
      </c>
      <c r="H1725">
        <v>0</v>
      </c>
    </row>
    <row r="1726" spans="1:8" x14ac:dyDescent="0.3">
      <c r="A1726">
        <v>4</v>
      </c>
      <c r="B1726">
        <v>2</v>
      </c>
      <c r="C1726">
        <v>1</v>
      </c>
      <c r="D1726">
        <v>1</v>
      </c>
      <c r="E1726" t="s">
        <v>14</v>
      </c>
      <c r="F1726">
        <v>2</v>
      </c>
      <c r="G1726">
        <v>0</v>
      </c>
      <c r="H1726">
        <v>2</v>
      </c>
    </row>
    <row r="1727" spans="1:8" x14ac:dyDescent="0.3">
      <c r="A1727">
        <v>4</v>
      </c>
      <c r="B1727">
        <v>2</v>
      </c>
      <c r="C1727">
        <v>1</v>
      </c>
      <c r="D1727">
        <v>1</v>
      </c>
      <c r="E1727" t="s">
        <v>14</v>
      </c>
      <c r="F1727">
        <v>2</v>
      </c>
      <c r="G1727">
        <v>1</v>
      </c>
      <c r="H1727">
        <v>1</v>
      </c>
    </row>
    <row r="1728" spans="1:8" x14ac:dyDescent="0.3">
      <c r="A1728">
        <v>4</v>
      </c>
      <c r="B1728">
        <v>1</v>
      </c>
      <c r="C1728">
        <v>2</v>
      </c>
      <c r="D1728">
        <v>1</v>
      </c>
      <c r="E1728" t="s">
        <v>14</v>
      </c>
      <c r="F1728">
        <v>1</v>
      </c>
      <c r="G1728">
        <v>2</v>
      </c>
      <c r="H1728">
        <v>1</v>
      </c>
    </row>
    <row r="1729" spans="1:8" x14ac:dyDescent="0.3">
      <c r="A1729">
        <v>4</v>
      </c>
      <c r="B1729">
        <v>1</v>
      </c>
      <c r="C1729">
        <v>1</v>
      </c>
      <c r="D1729">
        <v>2</v>
      </c>
      <c r="E1729" t="s">
        <v>14</v>
      </c>
      <c r="F1729">
        <v>2</v>
      </c>
      <c r="G1729">
        <v>2</v>
      </c>
      <c r="H1729">
        <v>0</v>
      </c>
    </row>
    <row r="1730" spans="1:8" x14ac:dyDescent="0.3">
      <c r="A1730">
        <v>4</v>
      </c>
      <c r="B1730">
        <v>2</v>
      </c>
      <c r="C1730">
        <v>1</v>
      </c>
      <c r="D1730">
        <v>1</v>
      </c>
      <c r="E1730" t="s">
        <v>14</v>
      </c>
      <c r="F1730">
        <v>2</v>
      </c>
      <c r="G1730">
        <v>1</v>
      </c>
      <c r="H1730">
        <v>1</v>
      </c>
    </row>
    <row r="1731" spans="1:8" x14ac:dyDescent="0.3">
      <c r="A1731">
        <v>4</v>
      </c>
      <c r="B1731">
        <v>2</v>
      </c>
      <c r="C1731">
        <v>1</v>
      </c>
      <c r="D1731">
        <v>1</v>
      </c>
      <c r="E1731" t="s">
        <v>14</v>
      </c>
      <c r="F1731">
        <v>2</v>
      </c>
      <c r="G1731">
        <v>0</v>
      </c>
      <c r="H1731">
        <v>2</v>
      </c>
    </row>
    <row r="1732" spans="1:8" x14ac:dyDescent="0.3">
      <c r="A1732">
        <v>4</v>
      </c>
      <c r="B1732">
        <v>1</v>
      </c>
      <c r="C1732">
        <v>1</v>
      </c>
      <c r="D1732">
        <v>2</v>
      </c>
      <c r="E1732" t="s">
        <v>14</v>
      </c>
      <c r="F1732">
        <v>2</v>
      </c>
      <c r="G1732">
        <v>0</v>
      </c>
      <c r="H1732">
        <v>2</v>
      </c>
    </row>
    <row r="1733" spans="1:8" x14ac:dyDescent="0.3">
      <c r="A1733">
        <v>4</v>
      </c>
      <c r="B1733">
        <v>1</v>
      </c>
      <c r="C1733">
        <v>1</v>
      </c>
      <c r="D1733">
        <v>2</v>
      </c>
      <c r="E1733" t="s">
        <v>14</v>
      </c>
      <c r="F1733">
        <v>1</v>
      </c>
      <c r="G1733">
        <v>1</v>
      </c>
      <c r="H1733">
        <v>2</v>
      </c>
    </row>
    <row r="1734" spans="1:8" x14ac:dyDescent="0.3">
      <c r="A1734">
        <v>4</v>
      </c>
      <c r="B1734">
        <v>1</v>
      </c>
      <c r="C1734">
        <v>1</v>
      </c>
      <c r="D1734">
        <v>2</v>
      </c>
      <c r="E1734" t="s">
        <v>14</v>
      </c>
      <c r="F1734">
        <v>1</v>
      </c>
      <c r="G1734">
        <v>1</v>
      </c>
      <c r="H1734">
        <v>2</v>
      </c>
    </row>
    <row r="1735" spans="1:8" x14ac:dyDescent="0.3">
      <c r="A1735">
        <v>4</v>
      </c>
      <c r="B1735">
        <v>1</v>
      </c>
      <c r="C1735">
        <v>2</v>
      </c>
      <c r="D1735">
        <v>1</v>
      </c>
      <c r="E1735" t="s">
        <v>14</v>
      </c>
      <c r="F1735">
        <v>1</v>
      </c>
      <c r="G1735">
        <v>2</v>
      </c>
      <c r="H1735">
        <v>1</v>
      </c>
    </row>
    <row r="1736" spans="1:8" x14ac:dyDescent="0.3">
      <c r="A1736">
        <v>5</v>
      </c>
      <c r="B1736">
        <v>1</v>
      </c>
      <c r="C1736">
        <v>2</v>
      </c>
      <c r="D1736">
        <v>2</v>
      </c>
      <c r="E1736" t="s">
        <v>14</v>
      </c>
      <c r="F1736">
        <v>1</v>
      </c>
      <c r="G1736">
        <v>2</v>
      </c>
      <c r="H1736">
        <v>2</v>
      </c>
    </row>
    <row r="1737" spans="1:8" x14ac:dyDescent="0.3">
      <c r="A1737">
        <v>5</v>
      </c>
      <c r="B1737">
        <v>2</v>
      </c>
      <c r="C1737">
        <v>2</v>
      </c>
      <c r="D1737">
        <v>1</v>
      </c>
      <c r="E1737" t="s">
        <v>14</v>
      </c>
      <c r="F1737">
        <v>2</v>
      </c>
      <c r="G1737">
        <v>2</v>
      </c>
      <c r="H1737">
        <v>1</v>
      </c>
    </row>
    <row r="1738" spans="1:8" x14ac:dyDescent="0.3">
      <c r="A1738">
        <v>5</v>
      </c>
      <c r="B1738">
        <v>1</v>
      </c>
      <c r="C1738">
        <v>2</v>
      </c>
      <c r="D1738">
        <v>2</v>
      </c>
      <c r="E1738" t="s">
        <v>14</v>
      </c>
      <c r="F1738">
        <v>3</v>
      </c>
      <c r="G1738">
        <v>0</v>
      </c>
      <c r="H1738">
        <v>2</v>
      </c>
    </row>
    <row r="1739" spans="1:8" x14ac:dyDescent="0.3">
      <c r="A1739">
        <v>5</v>
      </c>
      <c r="B1739">
        <v>2</v>
      </c>
      <c r="C1739">
        <v>2</v>
      </c>
      <c r="D1739">
        <v>1</v>
      </c>
      <c r="E1739" t="s">
        <v>14</v>
      </c>
      <c r="F1739">
        <v>2</v>
      </c>
      <c r="G1739">
        <v>2</v>
      </c>
      <c r="H1739">
        <v>1</v>
      </c>
    </row>
    <row r="1740" spans="1:8" x14ac:dyDescent="0.3">
      <c r="A1740">
        <v>5</v>
      </c>
      <c r="B1740">
        <v>2</v>
      </c>
      <c r="C1740">
        <v>2</v>
      </c>
      <c r="D1740">
        <v>1</v>
      </c>
      <c r="E1740" t="s">
        <v>14</v>
      </c>
      <c r="F1740">
        <v>2</v>
      </c>
      <c r="G1740">
        <v>3</v>
      </c>
      <c r="H1740">
        <v>0</v>
      </c>
    </row>
    <row r="1741" spans="1:8" x14ac:dyDescent="0.3">
      <c r="A1741">
        <v>6</v>
      </c>
      <c r="B1741">
        <v>3</v>
      </c>
      <c r="C1741">
        <v>1</v>
      </c>
      <c r="D1741">
        <v>2</v>
      </c>
      <c r="E1741" t="s">
        <v>14</v>
      </c>
      <c r="F1741">
        <v>3</v>
      </c>
      <c r="G1741">
        <v>1</v>
      </c>
      <c r="H1741">
        <v>2</v>
      </c>
    </row>
    <row r="1742" spans="1:8" x14ac:dyDescent="0.3">
      <c r="A1742">
        <v>6</v>
      </c>
      <c r="B1742">
        <v>2</v>
      </c>
      <c r="C1742">
        <v>3</v>
      </c>
      <c r="D1742">
        <v>1</v>
      </c>
      <c r="E1742" t="s">
        <v>14</v>
      </c>
      <c r="F1742">
        <v>2</v>
      </c>
      <c r="G1742">
        <v>3</v>
      </c>
      <c r="H1742">
        <v>1</v>
      </c>
    </row>
    <row r="1743" spans="1:8" x14ac:dyDescent="0.3">
      <c r="A1743">
        <v>6</v>
      </c>
      <c r="B1743">
        <v>2</v>
      </c>
      <c r="C1743">
        <v>2</v>
      </c>
      <c r="D1743">
        <v>2</v>
      </c>
      <c r="E1743" t="s">
        <v>14</v>
      </c>
      <c r="F1743">
        <v>2</v>
      </c>
      <c r="G1743">
        <v>2</v>
      </c>
      <c r="H1743">
        <v>2</v>
      </c>
    </row>
    <row r="1744" spans="1:8" x14ac:dyDescent="0.3">
      <c r="A1744">
        <v>6</v>
      </c>
      <c r="B1744">
        <v>1</v>
      </c>
      <c r="C1744">
        <v>2</v>
      </c>
      <c r="D1744">
        <v>3</v>
      </c>
      <c r="E1744" t="s">
        <v>14</v>
      </c>
      <c r="F1744">
        <v>1</v>
      </c>
      <c r="G1744">
        <v>2</v>
      </c>
      <c r="H1744">
        <v>3</v>
      </c>
    </row>
    <row r="1745" spans="1:8" x14ac:dyDescent="0.3">
      <c r="A1745">
        <v>7</v>
      </c>
      <c r="B1745">
        <v>2</v>
      </c>
      <c r="C1745">
        <v>3</v>
      </c>
      <c r="D1745">
        <v>2</v>
      </c>
      <c r="E1745" t="s">
        <v>14</v>
      </c>
      <c r="F1745">
        <v>2</v>
      </c>
      <c r="G1745">
        <v>3</v>
      </c>
      <c r="H1745">
        <v>2</v>
      </c>
    </row>
    <row r="1746" spans="1:8" x14ac:dyDescent="0.3">
      <c r="A1746">
        <v>7</v>
      </c>
      <c r="B1746">
        <v>3</v>
      </c>
      <c r="C1746">
        <v>2</v>
      </c>
      <c r="D1746">
        <v>2</v>
      </c>
      <c r="E1746" t="s">
        <v>14</v>
      </c>
      <c r="F1746">
        <v>3</v>
      </c>
      <c r="G1746">
        <v>2</v>
      </c>
      <c r="H1746">
        <v>2</v>
      </c>
    </row>
    <row r="1747" spans="1:8" x14ac:dyDescent="0.3">
      <c r="A1747">
        <v>7</v>
      </c>
      <c r="B1747">
        <v>2</v>
      </c>
      <c r="C1747">
        <v>2</v>
      </c>
      <c r="D1747">
        <v>3</v>
      </c>
      <c r="E1747" t="s">
        <v>14</v>
      </c>
      <c r="F1747">
        <v>2</v>
      </c>
      <c r="G1747">
        <v>2</v>
      </c>
      <c r="H1747">
        <v>3</v>
      </c>
    </row>
    <row r="1748" spans="1:8" x14ac:dyDescent="0.3">
      <c r="A1748">
        <v>7</v>
      </c>
      <c r="B1748">
        <v>2</v>
      </c>
      <c r="C1748">
        <v>2</v>
      </c>
      <c r="D1748">
        <v>3</v>
      </c>
      <c r="E1748" t="s">
        <v>14</v>
      </c>
      <c r="F1748">
        <v>2</v>
      </c>
      <c r="G1748">
        <v>2</v>
      </c>
      <c r="H1748">
        <v>3</v>
      </c>
    </row>
    <row r="1749" spans="1:8" x14ac:dyDescent="0.3">
      <c r="A1749">
        <v>7</v>
      </c>
      <c r="B1749">
        <v>2</v>
      </c>
      <c r="C1749">
        <v>2</v>
      </c>
      <c r="D1749">
        <v>3</v>
      </c>
      <c r="E1749" t="s">
        <v>14</v>
      </c>
      <c r="F1749">
        <v>2</v>
      </c>
      <c r="G1749">
        <v>2</v>
      </c>
      <c r="H1749">
        <v>3</v>
      </c>
    </row>
    <row r="1750" spans="1:8" x14ac:dyDescent="0.3">
      <c r="A1750">
        <v>8</v>
      </c>
      <c r="B1750">
        <v>2</v>
      </c>
      <c r="C1750">
        <v>3</v>
      </c>
      <c r="D1750">
        <v>3</v>
      </c>
      <c r="E1750" t="s">
        <v>14</v>
      </c>
      <c r="F1750">
        <v>2</v>
      </c>
      <c r="G1750">
        <v>3</v>
      </c>
      <c r="H1750">
        <v>3</v>
      </c>
    </row>
    <row r="1751" spans="1:8" x14ac:dyDescent="0.3">
      <c r="A1751">
        <v>2</v>
      </c>
      <c r="B1751">
        <v>1</v>
      </c>
      <c r="C1751">
        <v>1</v>
      </c>
      <c r="D1751">
        <v>0</v>
      </c>
      <c r="E1751" t="s">
        <v>14</v>
      </c>
      <c r="F1751">
        <v>0</v>
      </c>
      <c r="G1751">
        <v>0</v>
      </c>
      <c r="H1751">
        <v>2</v>
      </c>
    </row>
    <row r="1752" spans="1:8" x14ac:dyDescent="0.3">
      <c r="A1752">
        <v>2</v>
      </c>
      <c r="B1752">
        <v>1</v>
      </c>
      <c r="C1752">
        <v>1</v>
      </c>
      <c r="D1752">
        <v>0</v>
      </c>
      <c r="E1752" t="s">
        <v>14</v>
      </c>
      <c r="F1752">
        <v>1</v>
      </c>
      <c r="G1752">
        <v>1</v>
      </c>
      <c r="H1752">
        <v>0</v>
      </c>
    </row>
    <row r="1753" spans="1:8" x14ac:dyDescent="0.3">
      <c r="A1753">
        <v>2</v>
      </c>
      <c r="B1753">
        <v>1</v>
      </c>
      <c r="C1753">
        <v>1</v>
      </c>
      <c r="D1753">
        <v>0</v>
      </c>
      <c r="E1753" t="s">
        <v>14</v>
      </c>
      <c r="F1753">
        <v>2</v>
      </c>
      <c r="G1753">
        <v>0</v>
      </c>
      <c r="H1753">
        <v>0</v>
      </c>
    </row>
    <row r="1754" spans="1:8" x14ac:dyDescent="0.3">
      <c r="A1754">
        <v>2</v>
      </c>
      <c r="B1754">
        <v>1</v>
      </c>
      <c r="C1754">
        <v>1</v>
      </c>
      <c r="D1754">
        <v>0</v>
      </c>
      <c r="E1754" t="s">
        <v>14</v>
      </c>
      <c r="F1754">
        <v>1</v>
      </c>
      <c r="G1754">
        <v>1</v>
      </c>
      <c r="H1754">
        <v>0</v>
      </c>
    </row>
    <row r="1755" spans="1:8" x14ac:dyDescent="0.3">
      <c r="A1755">
        <v>2</v>
      </c>
      <c r="B1755">
        <v>0</v>
      </c>
      <c r="C1755">
        <v>1</v>
      </c>
      <c r="D1755">
        <v>1</v>
      </c>
      <c r="E1755" t="s">
        <v>14</v>
      </c>
      <c r="F1755">
        <v>0</v>
      </c>
      <c r="G1755">
        <v>0</v>
      </c>
      <c r="H1755">
        <v>2</v>
      </c>
    </row>
    <row r="1756" spans="1:8" x14ac:dyDescent="0.3">
      <c r="A1756">
        <v>2</v>
      </c>
      <c r="B1756">
        <v>0</v>
      </c>
      <c r="C1756">
        <v>1</v>
      </c>
      <c r="D1756">
        <v>1</v>
      </c>
      <c r="E1756" t="s">
        <v>14</v>
      </c>
      <c r="F1756">
        <v>0</v>
      </c>
      <c r="G1756">
        <v>0</v>
      </c>
      <c r="H1756">
        <v>2</v>
      </c>
    </row>
    <row r="1757" spans="1:8" x14ac:dyDescent="0.3">
      <c r="A1757">
        <v>3</v>
      </c>
      <c r="B1757">
        <v>1</v>
      </c>
      <c r="C1757">
        <v>1</v>
      </c>
      <c r="D1757">
        <v>1</v>
      </c>
      <c r="E1757" t="s">
        <v>14</v>
      </c>
      <c r="F1757">
        <v>2</v>
      </c>
      <c r="G1757">
        <v>1</v>
      </c>
      <c r="H1757">
        <v>0</v>
      </c>
    </row>
    <row r="1758" spans="1:8" x14ac:dyDescent="0.3">
      <c r="A1758">
        <v>3</v>
      </c>
      <c r="B1758">
        <v>1</v>
      </c>
      <c r="C1758">
        <v>1</v>
      </c>
      <c r="D1758">
        <v>1</v>
      </c>
      <c r="E1758" t="s">
        <v>14</v>
      </c>
      <c r="F1758">
        <v>0</v>
      </c>
      <c r="G1758">
        <v>2</v>
      </c>
      <c r="H1758">
        <v>1</v>
      </c>
    </row>
    <row r="1759" spans="1:8" x14ac:dyDescent="0.3">
      <c r="A1759">
        <v>3</v>
      </c>
      <c r="B1759">
        <v>1</v>
      </c>
      <c r="C1759">
        <v>1</v>
      </c>
      <c r="D1759">
        <v>1</v>
      </c>
      <c r="E1759" t="s">
        <v>14</v>
      </c>
      <c r="F1759">
        <v>1</v>
      </c>
      <c r="G1759">
        <v>0</v>
      </c>
      <c r="H1759">
        <v>2</v>
      </c>
    </row>
    <row r="1760" spans="1:8" x14ac:dyDescent="0.3">
      <c r="A1760">
        <v>3</v>
      </c>
      <c r="B1760">
        <v>1</v>
      </c>
      <c r="C1760">
        <v>1</v>
      </c>
      <c r="D1760">
        <v>1</v>
      </c>
      <c r="E1760" t="s">
        <v>14</v>
      </c>
      <c r="F1760">
        <v>1</v>
      </c>
      <c r="G1760">
        <v>0</v>
      </c>
      <c r="H1760">
        <v>2</v>
      </c>
    </row>
    <row r="1761" spans="1:8" x14ac:dyDescent="0.3">
      <c r="A1761">
        <v>3</v>
      </c>
      <c r="B1761">
        <v>1</v>
      </c>
      <c r="C1761">
        <v>1</v>
      </c>
      <c r="D1761">
        <v>1</v>
      </c>
      <c r="E1761" t="s">
        <v>14</v>
      </c>
      <c r="F1761">
        <v>2</v>
      </c>
      <c r="G1761">
        <v>1</v>
      </c>
      <c r="H1761">
        <v>0</v>
      </c>
    </row>
    <row r="1762" spans="1:8" x14ac:dyDescent="0.3">
      <c r="A1762">
        <v>3</v>
      </c>
      <c r="B1762">
        <v>1</v>
      </c>
      <c r="C1762">
        <v>1</v>
      </c>
      <c r="D1762">
        <v>1</v>
      </c>
      <c r="E1762" t="s">
        <v>14</v>
      </c>
      <c r="F1762">
        <v>2</v>
      </c>
      <c r="G1762">
        <v>1</v>
      </c>
      <c r="H1762">
        <v>0</v>
      </c>
    </row>
    <row r="1763" spans="1:8" x14ac:dyDescent="0.3">
      <c r="A1763">
        <v>3</v>
      </c>
      <c r="B1763">
        <v>1</v>
      </c>
      <c r="C1763">
        <v>1</v>
      </c>
      <c r="D1763">
        <v>1</v>
      </c>
      <c r="E1763" t="s">
        <v>14</v>
      </c>
      <c r="F1763">
        <v>1</v>
      </c>
      <c r="G1763">
        <v>1</v>
      </c>
      <c r="H1763">
        <v>1</v>
      </c>
    </row>
    <row r="1764" spans="1:8" x14ac:dyDescent="0.3">
      <c r="A1764">
        <v>3</v>
      </c>
      <c r="B1764">
        <v>1</v>
      </c>
      <c r="C1764">
        <v>1</v>
      </c>
      <c r="D1764">
        <v>1</v>
      </c>
      <c r="E1764" t="s">
        <v>14</v>
      </c>
      <c r="F1764">
        <v>1</v>
      </c>
      <c r="G1764">
        <v>0</v>
      </c>
      <c r="H1764">
        <v>2</v>
      </c>
    </row>
    <row r="1765" spans="1:8" x14ac:dyDescent="0.3">
      <c r="A1765">
        <v>3</v>
      </c>
      <c r="B1765">
        <v>1</v>
      </c>
      <c r="C1765">
        <v>1</v>
      </c>
      <c r="D1765">
        <v>1</v>
      </c>
      <c r="E1765" t="s">
        <v>14</v>
      </c>
      <c r="F1765">
        <v>0</v>
      </c>
      <c r="G1765">
        <v>2</v>
      </c>
      <c r="H1765">
        <v>1</v>
      </c>
    </row>
    <row r="1766" spans="1:8" x14ac:dyDescent="0.3">
      <c r="A1766">
        <v>3</v>
      </c>
      <c r="B1766">
        <v>1</v>
      </c>
      <c r="C1766">
        <v>1</v>
      </c>
      <c r="D1766">
        <v>1</v>
      </c>
      <c r="E1766" t="s">
        <v>14</v>
      </c>
      <c r="F1766">
        <v>2</v>
      </c>
      <c r="G1766">
        <v>1</v>
      </c>
      <c r="H1766">
        <v>0</v>
      </c>
    </row>
    <row r="1767" spans="1:8" x14ac:dyDescent="0.3">
      <c r="A1767">
        <v>3</v>
      </c>
      <c r="B1767">
        <v>1</v>
      </c>
      <c r="C1767">
        <v>1</v>
      </c>
      <c r="D1767">
        <v>1</v>
      </c>
      <c r="E1767" t="s">
        <v>14</v>
      </c>
      <c r="F1767">
        <v>1</v>
      </c>
      <c r="G1767">
        <v>0</v>
      </c>
      <c r="H1767">
        <v>2</v>
      </c>
    </row>
    <row r="1768" spans="1:8" x14ac:dyDescent="0.3">
      <c r="A1768">
        <v>3</v>
      </c>
      <c r="B1768">
        <v>1</v>
      </c>
      <c r="C1768">
        <v>1</v>
      </c>
      <c r="D1768">
        <v>1</v>
      </c>
      <c r="E1768" t="s">
        <v>14</v>
      </c>
      <c r="F1768">
        <v>2</v>
      </c>
      <c r="G1768">
        <v>1</v>
      </c>
      <c r="H1768">
        <v>0</v>
      </c>
    </row>
    <row r="1769" spans="1:8" x14ac:dyDescent="0.3">
      <c r="A1769">
        <v>3</v>
      </c>
      <c r="B1769">
        <v>1</v>
      </c>
      <c r="C1769">
        <v>1</v>
      </c>
      <c r="D1769">
        <v>1</v>
      </c>
      <c r="E1769" t="s">
        <v>14</v>
      </c>
      <c r="F1769">
        <v>1</v>
      </c>
      <c r="G1769">
        <v>1</v>
      </c>
      <c r="H1769">
        <v>1</v>
      </c>
    </row>
    <row r="1770" spans="1:8" x14ac:dyDescent="0.3">
      <c r="A1770">
        <v>3</v>
      </c>
      <c r="B1770">
        <v>0</v>
      </c>
      <c r="C1770">
        <v>2</v>
      </c>
      <c r="D1770">
        <v>1</v>
      </c>
      <c r="E1770" t="s">
        <v>14</v>
      </c>
      <c r="F1770">
        <v>0</v>
      </c>
      <c r="G1770">
        <v>2</v>
      </c>
      <c r="H1770">
        <v>1</v>
      </c>
    </row>
    <row r="1771" spans="1:8" x14ac:dyDescent="0.3">
      <c r="A1771">
        <v>3</v>
      </c>
      <c r="B1771">
        <v>1</v>
      </c>
      <c r="C1771">
        <v>1</v>
      </c>
      <c r="D1771">
        <v>1</v>
      </c>
      <c r="E1771" t="s">
        <v>14</v>
      </c>
      <c r="F1771">
        <v>2</v>
      </c>
      <c r="G1771">
        <v>1</v>
      </c>
      <c r="H1771">
        <v>0</v>
      </c>
    </row>
    <row r="1772" spans="1:8" x14ac:dyDescent="0.3">
      <c r="A1772">
        <v>3</v>
      </c>
      <c r="B1772">
        <v>1</v>
      </c>
      <c r="C1772">
        <v>1</v>
      </c>
      <c r="D1772">
        <v>1</v>
      </c>
      <c r="E1772" t="s">
        <v>14</v>
      </c>
      <c r="F1772">
        <v>1</v>
      </c>
      <c r="G1772">
        <v>1</v>
      </c>
      <c r="H1772">
        <v>1</v>
      </c>
    </row>
    <row r="1773" spans="1:8" x14ac:dyDescent="0.3">
      <c r="A1773">
        <v>3</v>
      </c>
      <c r="B1773">
        <v>1</v>
      </c>
      <c r="C1773">
        <v>1</v>
      </c>
      <c r="D1773">
        <v>1</v>
      </c>
      <c r="E1773" t="s">
        <v>14</v>
      </c>
      <c r="F1773">
        <v>1</v>
      </c>
      <c r="G1773">
        <v>0</v>
      </c>
      <c r="H1773">
        <v>2</v>
      </c>
    </row>
    <row r="1774" spans="1:8" x14ac:dyDescent="0.3">
      <c r="A1774">
        <v>3</v>
      </c>
      <c r="B1774">
        <v>2</v>
      </c>
      <c r="C1774">
        <v>1</v>
      </c>
      <c r="D1774">
        <v>0</v>
      </c>
      <c r="E1774" t="s">
        <v>14</v>
      </c>
      <c r="F1774">
        <v>2</v>
      </c>
      <c r="G1774">
        <v>1</v>
      </c>
      <c r="H1774">
        <v>0</v>
      </c>
    </row>
    <row r="1775" spans="1:8" x14ac:dyDescent="0.3">
      <c r="A1775">
        <v>3</v>
      </c>
      <c r="B1775">
        <v>1</v>
      </c>
      <c r="C1775">
        <v>1</v>
      </c>
      <c r="D1775">
        <v>1</v>
      </c>
      <c r="E1775" t="s">
        <v>14</v>
      </c>
      <c r="F1775">
        <v>1</v>
      </c>
      <c r="G1775">
        <v>0</v>
      </c>
      <c r="H1775">
        <v>2</v>
      </c>
    </row>
    <row r="1776" spans="1:8" x14ac:dyDescent="0.3">
      <c r="A1776">
        <v>3</v>
      </c>
      <c r="B1776">
        <v>1</v>
      </c>
      <c r="C1776">
        <v>1</v>
      </c>
      <c r="D1776">
        <v>1</v>
      </c>
      <c r="E1776" t="s">
        <v>14</v>
      </c>
      <c r="F1776">
        <v>1</v>
      </c>
      <c r="G1776">
        <v>1</v>
      </c>
      <c r="H1776">
        <v>1</v>
      </c>
    </row>
    <row r="1777" spans="1:8" x14ac:dyDescent="0.3">
      <c r="A1777">
        <v>3</v>
      </c>
      <c r="B1777">
        <v>1</v>
      </c>
      <c r="C1777">
        <v>0</v>
      </c>
      <c r="D1777">
        <v>2</v>
      </c>
      <c r="E1777" t="s">
        <v>14</v>
      </c>
      <c r="F1777">
        <v>2</v>
      </c>
      <c r="G1777">
        <v>1</v>
      </c>
      <c r="H1777">
        <v>0</v>
      </c>
    </row>
    <row r="1778" spans="1:8" x14ac:dyDescent="0.3">
      <c r="A1778">
        <v>3</v>
      </c>
      <c r="B1778">
        <v>1</v>
      </c>
      <c r="C1778">
        <v>1</v>
      </c>
      <c r="D1778">
        <v>1</v>
      </c>
      <c r="E1778" t="s">
        <v>14</v>
      </c>
      <c r="F1778">
        <v>1</v>
      </c>
      <c r="G1778">
        <v>1</v>
      </c>
      <c r="H1778">
        <v>1</v>
      </c>
    </row>
    <row r="1779" spans="1:8" x14ac:dyDescent="0.3">
      <c r="A1779">
        <v>3</v>
      </c>
      <c r="B1779">
        <v>1</v>
      </c>
      <c r="C1779">
        <v>1</v>
      </c>
      <c r="D1779">
        <v>1</v>
      </c>
      <c r="E1779" t="s">
        <v>14</v>
      </c>
      <c r="F1779">
        <v>1</v>
      </c>
      <c r="G1779">
        <v>1</v>
      </c>
      <c r="H1779">
        <v>1</v>
      </c>
    </row>
    <row r="1780" spans="1:8" x14ac:dyDescent="0.3">
      <c r="A1780">
        <v>3</v>
      </c>
      <c r="B1780">
        <v>1</v>
      </c>
      <c r="C1780">
        <v>1</v>
      </c>
      <c r="D1780">
        <v>1</v>
      </c>
      <c r="E1780" t="s">
        <v>14</v>
      </c>
      <c r="F1780">
        <v>1</v>
      </c>
      <c r="G1780">
        <v>0</v>
      </c>
      <c r="H1780">
        <v>2</v>
      </c>
    </row>
    <row r="1781" spans="1:8" x14ac:dyDescent="0.3">
      <c r="A1781">
        <v>3</v>
      </c>
      <c r="B1781">
        <v>1</v>
      </c>
      <c r="C1781">
        <v>1</v>
      </c>
      <c r="D1781">
        <v>1</v>
      </c>
      <c r="E1781" t="s">
        <v>14</v>
      </c>
      <c r="F1781">
        <v>1</v>
      </c>
      <c r="G1781">
        <v>1</v>
      </c>
      <c r="H1781">
        <v>1</v>
      </c>
    </row>
    <row r="1782" spans="1:8" x14ac:dyDescent="0.3">
      <c r="A1782">
        <v>3</v>
      </c>
      <c r="B1782">
        <v>1</v>
      </c>
      <c r="C1782">
        <v>1</v>
      </c>
      <c r="D1782">
        <v>1</v>
      </c>
      <c r="E1782" t="s">
        <v>14</v>
      </c>
      <c r="F1782">
        <v>0</v>
      </c>
      <c r="G1782">
        <v>2</v>
      </c>
      <c r="H1782">
        <v>1</v>
      </c>
    </row>
    <row r="1783" spans="1:8" x14ac:dyDescent="0.3">
      <c r="A1783">
        <v>3</v>
      </c>
      <c r="B1783">
        <v>2</v>
      </c>
      <c r="C1783">
        <v>1</v>
      </c>
      <c r="D1783">
        <v>0</v>
      </c>
      <c r="E1783" t="s">
        <v>14</v>
      </c>
      <c r="F1783">
        <v>2</v>
      </c>
      <c r="G1783">
        <v>1</v>
      </c>
      <c r="H1783">
        <v>0</v>
      </c>
    </row>
    <row r="1784" spans="1:8" x14ac:dyDescent="0.3">
      <c r="A1784">
        <v>3</v>
      </c>
      <c r="B1784">
        <v>1</v>
      </c>
      <c r="C1784">
        <v>0</v>
      </c>
      <c r="D1784">
        <v>2</v>
      </c>
      <c r="E1784" t="s">
        <v>14</v>
      </c>
      <c r="F1784">
        <v>1</v>
      </c>
      <c r="G1784">
        <v>0</v>
      </c>
      <c r="H1784">
        <v>2</v>
      </c>
    </row>
    <row r="1785" spans="1:8" x14ac:dyDescent="0.3">
      <c r="A1785">
        <v>3</v>
      </c>
      <c r="B1785">
        <v>2</v>
      </c>
      <c r="C1785">
        <v>1</v>
      </c>
      <c r="D1785">
        <v>0</v>
      </c>
      <c r="E1785" t="s">
        <v>14</v>
      </c>
      <c r="F1785">
        <v>2</v>
      </c>
      <c r="G1785">
        <v>1</v>
      </c>
      <c r="H1785">
        <v>0</v>
      </c>
    </row>
    <row r="1786" spans="1:8" x14ac:dyDescent="0.3">
      <c r="A1786">
        <v>3</v>
      </c>
      <c r="B1786">
        <v>1</v>
      </c>
      <c r="C1786">
        <v>1</v>
      </c>
      <c r="D1786">
        <v>1</v>
      </c>
      <c r="E1786" t="s">
        <v>14</v>
      </c>
      <c r="F1786">
        <v>0</v>
      </c>
      <c r="G1786">
        <v>2</v>
      </c>
      <c r="H1786">
        <v>1</v>
      </c>
    </row>
    <row r="1787" spans="1:8" x14ac:dyDescent="0.3">
      <c r="A1787">
        <v>3</v>
      </c>
      <c r="B1787">
        <v>1</v>
      </c>
      <c r="C1787">
        <v>1</v>
      </c>
      <c r="D1787">
        <v>1</v>
      </c>
      <c r="E1787" t="s">
        <v>14</v>
      </c>
      <c r="F1787">
        <v>1</v>
      </c>
      <c r="G1787">
        <v>1</v>
      </c>
      <c r="H1787">
        <v>1</v>
      </c>
    </row>
    <row r="1788" spans="1:8" x14ac:dyDescent="0.3">
      <c r="A1788">
        <v>3</v>
      </c>
      <c r="B1788">
        <v>0</v>
      </c>
      <c r="C1788">
        <v>2</v>
      </c>
      <c r="D1788">
        <v>1</v>
      </c>
      <c r="E1788" t="s">
        <v>14</v>
      </c>
      <c r="F1788">
        <v>0</v>
      </c>
      <c r="G1788">
        <v>2</v>
      </c>
      <c r="H1788">
        <v>1</v>
      </c>
    </row>
    <row r="1789" spans="1:8" x14ac:dyDescent="0.3">
      <c r="A1789">
        <v>3</v>
      </c>
      <c r="B1789">
        <v>1</v>
      </c>
      <c r="C1789">
        <v>1</v>
      </c>
      <c r="D1789">
        <v>1</v>
      </c>
      <c r="E1789" t="s">
        <v>14</v>
      </c>
      <c r="F1789">
        <v>0</v>
      </c>
      <c r="G1789">
        <v>2</v>
      </c>
      <c r="H1789">
        <v>1</v>
      </c>
    </row>
    <row r="1790" spans="1:8" x14ac:dyDescent="0.3">
      <c r="A1790">
        <v>3</v>
      </c>
      <c r="B1790">
        <v>1</v>
      </c>
      <c r="C1790">
        <v>1</v>
      </c>
      <c r="D1790">
        <v>1</v>
      </c>
      <c r="E1790" t="s">
        <v>14</v>
      </c>
      <c r="F1790">
        <v>1</v>
      </c>
      <c r="G1790">
        <v>0</v>
      </c>
      <c r="H1790">
        <v>2</v>
      </c>
    </row>
    <row r="1791" spans="1:8" x14ac:dyDescent="0.3">
      <c r="A1791">
        <v>3</v>
      </c>
      <c r="B1791">
        <v>1</v>
      </c>
      <c r="C1791">
        <v>1</v>
      </c>
      <c r="D1791">
        <v>1</v>
      </c>
      <c r="E1791" t="s">
        <v>14</v>
      </c>
      <c r="F1791">
        <v>1</v>
      </c>
      <c r="G1791">
        <v>1</v>
      </c>
      <c r="H1791">
        <v>1</v>
      </c>
    </row>
    <row r="1792" spans="1:8" x14ac:dyDescent="0.3">
      <c r="A1792">
        <v>3</v>
      </c>
      <c r="B1792">
        <v>2</v>
      </c>
      <c r="C1792">
        <v>1</v>
      </c>
      <c r="D1792">
        <v>0</v>
      </c>
      <c r="E1792" t="s">
        <v>14</v>
      </c>
      <c r="F1792">
        <v>2</v>
      </c>
      <c r="G1792">
        <v>1</v>
      </c>
      <c r="H1792">
        <v>0</v>
      </c>
    </row>
    <row r="1793" spans="1:8" x14ac:dyDescent="0.3">
      <c r="A1793">
        <v>3</v>
      </c>
      <c r="B1793">
        <v>1</v>
      </c>
      <c r="C1793">
        <v>1</v>
      </c>
      <c r="D1793">
        <v>1</v>
      </c>
      <c r="E1793" t="s">
        <v>14</v>
      </c>
      <c r="F1793">
        <v>1</v>
      </c>
      <c r="G1793">
        <v>1</v>
      </c>
      <c r="H1793">
        <v>1</v>
      </c>
    </row>
    <row r="1794" spans="1:8" x14ac:dyDescent="0.3">
      <c r="A1794">
        <v>3</v>
      </c>
      <c r="B1794">
        <v>1</v>
      </c>
      <c r="C1794">
        <v>1</v>
      </c>
      <c r="D1794">
        <v>1</v>
      </c>
      <c r="E1794" t="s">
        <v>14</v>
      </c>
      <c r="F1794">
        <v>2</v>
      </c>
      <c r="G1794">
        <v>1</v>
      </c>
      <c r="H1794">
        <v>0</v>
      </c>
    </row>
    <row r="1795" spans="1:8" x14ac:dyDescent="0.3">
      <c r="A1795">
        <v>3</v>
      </c>
      <c r="B1795">
        <v>0</v>
      </c>
      <c r="C1795">
        <v>2</v>
      </c>
      <c r="D1795">
        <v>1</v>
      </c>
      <c r="E1795" t="s">
        <v>14</v>
      </c>
      <c r="F1795">
        <v>0</v>
      </c>
      <c r="G1795">
        <v>2</v>
      </c>
      <c r="H1795">
        <v>1</v>
      </c>
    </row>
    <row r="1796" spans="1:8" x14ac:dyDescent="0.3">
      <c r="A1796">
        <v>3</v>
      </c>
      <c r="B1796">
        <v>1</v>
      </c>
      <c r="C1796">
        <v>1</v>
      </c>
      <c r="D1796">
        <v>1</v>
      </c>
      <c r="E1796" t="s">
        <v>14</v>
      </c>
      <c r="F1796">
        <v>0</v>
      </c>
      <c r="G1796">
        <v>2</v>
      </c>
      <c r="H1796">
        <v>1</v>
      </c>
    </row>
    <row r="1797" spans="1:8" x14ac:dyDescent="0.3">
      <c r="A1797">
        <v>3</v>
      </c>
      <c r="B1797">
        <v>1</v>
      </c>
      <c r="C1797">
        <v>1</v>
      </c>
      <c r="D1797">
        <v>1</v>
      </c>
      <c r="E1797" t="s">
        <v>14</v>
      </c>
      <c r="F1797">
        <v>2</v>
      </c>
      <c r="G1797">
        <v>1</v>
      </c>
      <c r="H1797">
        <v>0</v>
      </c>
    </row>
    <row r="1798" spans="1:8" x14ac:dyDescent="0.3">
      <c r="A1798">
        <v>4</v>
      </c>
      <c r="B1798">
        <v>2</v>
      </c>
      <c r="C1798">
        <v>1</v>
      </c>
      <c r="D1798">
        <v>1</v>
      </c>
      <c r="E1798" t="s">
        <v>14</v>
      </c>
      <c r="F1798">
        <v>2</v>
      </c>
      <c r="G1798">
        <v>1</v>
      </c>
      <c r="H1798">
        <v>1</v>
      </c>
    </row>
    <row r="1799" spans="1:8" x14ac:dyDescent="0.3">
      <c r="A1799">
        <v>4</v>
      </c>
      <c r="B1799">
        <v>1</v>
      </c>
      <c r="C1799">
        <v>2</v>
      </c>
      <c r="D1799">
        <v>1</v>
      </c>
      <c r="E1799" t="s">
        <v>14</v>
      </c>
      <c r="F1799">
        <v>2</v>
      </c>
      <c r="G1799">
        <v>2</v>
      </c>
      <c r="H1799">
        <v>0</v>
      </c>
    </row>
    <row r="1800" spans="1:8" x14ac:dyDescent="0.3">
      <c r="A1800">
        <v>4</v>
      </c>
      <c r="B1800">
        <v>2</v>
      </c>
      <c r="C1800">
        <v>1</v>
      </c>
      <c r="D1800">
        <v>1</v>
      </c>
      <c r="E1800" t="s">
        <v>14</v>
      </c>
      <c r="F1800">
        <v>2</v>
      </c>
      <c r="G1800">
        <v>0</v>
      </c>
      <c r="H1800">
        <v>2</v>
      </c>
    </row>
    <row r="1801" spans="1:8" x14ac:dyDescent="0.3">
      <c r="A1801">
        <v>4</v>
      </c>
      <c r="B1801">
        <v>1</v>
      </c>
      <c r="C1801">
        <v>2</v>
      </c>
      <c r="D1801">
        <v>1</v>
      </c>
      <c r="E1801" t="s">
        <v>14</v>
      </c>
      <c r="F1801">
        <v>1</v>
      </c>
      <c r="G1801">
        <v>2</v>
      </c>
      <c r="H1801">
        <v>1</v>
      </c>
    </row>
    <row r="1802" spans="1:8" x14ac:dyDescent="0.3">
      <c r="A1802">
        <v>4</v>
      </c>
      <c r="B1802">
        <v>2</v>
      </c>
      <c r="C1802">
        <v>1</v>
      </c>
      <c r="D1802">
        <v>1</v>
      </c>
      <c r="E1802" t="s">
        <v>14</v>
      </c>
      <c r="F1802">
        <v>0</v>
      </c>
      <c r="G1802">
        <v>2</v>
      </c>
      <c r="H1802">
        <v>2</v>
      </c>
    </row>
    <row r="1803" spans="1:8" x14ac:dyDescent="0.3">
      <c r="A1803">
        <v>4</v>
      </c>
      <c r="B1803">
        <v>2</v>
      </c>
      <c r="C1803">
        <v>1</v>
      </c>
      <c r="D1803">
        <v>1</v>
      </c>
      <c r="E1803" t="s">
        <v>14</v>
      </c>
      <c r="F1803">
        <v>2</v>
      </c>
      <c r="G1803">
        <v>1</v>
      </c>
      <c r="H1803">
        <v>1</v>
      </c>
    </row>
    <row r="1804" spans="1:8" x14ac:dyDescent="0.3">
      <c r="A1804">
        <v>4</v>
      </c>
      <c r="B1804">
        <v>1</v>
      </c>
      <c r="C1804">
        <v>2</v>
      </c>
      <c r="D1804">
        <v>1</v>
      </c>
      <c r="E1804" t="s">
        <v>14</v>
      </c>
      <c r="F1804">
        <v>2</v>
      </c>
      <c r="G1804">
        <v>2</v>
      </c>
      <c r="H1804">
        <v>0</v>
      </c>
    </row>
    <row r="1805" spans="1:8" x14ac:dyDescent="0.3">
      <c r="A1805">
        <v>4</v>
      </c>
      <c r="B1805">
        <v>2</v>
      </c>
      <c r="C1805">
        <v>1</v>
      </c>
      <c r="D1805">
        <v>1</v>
      </c>
      <c r="E1805" t="s">
        <v>14</v>
      </c>
      <c r="F1805">
        <v>2</v>
      </c>
      <c r="G1805">
        <v>2</v>
      </c>
      <c r="H1805">
        <v>0</v>
      </c>
    </row>
    <row r="1806" spans="1:8" x14ac:dyDescent="0.3">
      <c r="A1806">
        <v>4</v>
      </c>
      <c r="B1806">
        <v>1</v>
      </c>
      <c r="C1806">
        <v>2</v>
      </c>
      <c r="D1806">
        <v>1</v>
      </c>
      <c r="E1806" t="s">
        <v>14</v>
      </c>
      <c r="F1806">
        <v>1</v>
      </c>
      <c r="G1806">
        <v>2</v>
      </c>
      <c r="H1806">
        <v>1</v>
      </c>
    </row>
    <row r="1807" spans="1:8" x14ac:dyDescent="0.3">
      <c r="A1807">
        <v>4</v>
      </c>
      <c r="B1807">
        <v>1</v>
      </c>
      <c r="C1807">
        <v>1</v>
      </c>
      <c r="D1807">
        <v>2</v>
      </c>
      <c r="E1807" t="s">
        <v>14</v>
      </c>
      <c r="F1807">
        <v>0</v>
      </c>
      <c r="G1807">
        <v>2</v>
      </c>
      <c r="H1807">
        <v>2</v>
      </c>
    </row>
    <row r="1808" spans="1:8" x14ac:dyDescent="0.3">
      <c r="A1808">
        <v>4</v>
      </c>
      <c r="B1808">
        <v>2</v>
      </c>
      <c r="C1808">
        <v>1</v>
      </c>
      <c r="D1808">
        <v>1</v>
      </c>
      <c r="E1808" t="s">
        <v>14</v>
      </c>
      <c r="F1808">
        <v>0</v>
      </c>
      <c r="G1808">
        <v>2</v>
      </c>
      <c r="H1808">
        <v>2</v>
      </c>
    </row>
    <row r="1809" spans="1:8" x14ac:dyDescent="0.3">
      <c r="A1809">
        <v>5</v>
      </c>
      <c r="B1809">
        <v>2</v>
      </c>
      <c r="C1809">
        <v>1</v>
      </c>
      <c r="D1809">
        <v>2</v>
      </c>
      <c r="E1809" t="s">
        <v>14</v>
      </c>
      <c r="F1809">
        <v>0</v>
      </c>
      <c r="G1809">
        <v>2</v>
      </c>
      <c r="H1809">
        <v>3</v>
      </c>
    </row>
    <row r="1810" spans="1:8" x14ac:dyDescent="0.3">
      <c r="A1810">
        <v>5</v>
      </c>
      <c r="B1810">
        <v>2</v>
      </c>
      <c r="C1810">
        <v>2</v>
      </c>
      <c r="D1810">
        <v>1</v>
      </c>
      <c r="E1810" t="s">
        <v>14</v>
      </c>
      <c r="F1810">
        <v>2</v>
      </c>
      <c r="G1810">
        <v>2</v>
      </c>
      <c r="H1810">
        <v>1</v>
      </c>
    </row>
    <row r="1811" spans="1:8" x14ac:dyDescent="0.3">
      <c r="A1811">
        <v>6</v>
      </c>
      <c r="B1811">
        <v>2</v>
      </c>
      <c r="C1811">
        <v>3</v>
      </c>
      <c r="D1811">
        <v>1</v>
      </c>
      <c r="E1811" t="s">
        <v>14</v>
      </c>
      <c r="F1811">
        <v>2</v>
      </c>
      <c r="G1811">
        <v>3</v>
      </c>
      <c r="H1811">
        <v>1</v>
      </c>
    </row>
    <row r="1812" spans="1:8" x14ac:dyDescent="0.3">
      <c r="A1812">
        <v>6</v>
      </c>
      <c r="B1812">
        <v>2</v>
      </c>
      <c r="C1812">
        <v>3</v>
      </c>
      <c r="D1812">
        <v>1</v>
      </c>
      <c r="E1812" t="s">
        <v>14</v>
      </c>
      <c r="F1812">
        <v>2</v>
      </c>
      <c r="G1812">
        <v>3</v>
      </c>
      <c r="H1812">
        <v>1</v>
      </c>
    </row>
    <row r="1813" spans="1:8" x14ac:dyDescent="0.3">
      <c r="A1813">
        <v>6</v>
      </c>
      <c r="B1813">
        <v>2</v>
      </c>
      <c r="C1813">
        <v>2</v>
      </c>
      <c r="D1813">
        <v>2</v>
      </c>
      <c r="E1813" t="s">
        <v>14</v>
      </c>
      <c r="F1813">
        <v>2</v>
      </c>
      <c r="G1813">
        <v>2</v>
      </c>
      <c r="H1813">
        <v>2</v>
      </c>
    </row>
    <row r="1814" spans="1:8" x14ac:dyDescent="0.3">
      <c r="A1814">
        <v>6</v>
      </c>
      <c r="B1814">
        <v>1</v>
      </c>
      <c r="C1814">
        <v>2</v>
      </c>
      <c r="D1814">
        <v>3</v>
      </c>
      <c r="E1814" t="s">
        <v>14</v>
      </c>
      <c r="F1814">
        <v>1</v>
      </c>
      <c r="G1814">
        <v>2</v>
      </c>
      <c r="H1814">
        <v>3</v>
      </c>
    </row>
    <row r="1815" spans="1:8" x14ac:dyDescent="0.3">
      <c r="A1815">
        <v>7</v>
      </c>
      <c r="B1815">
        <v>2</v>
      </c>
      <c r="C1815">
        <v>2</v>
      </c>
      <c r="D1815">
        <v>3</v>
      </c>
      <c r="E1815" t="s">
        <v>14</v>
      </c>
      <c r="F1815">
        <v>2</v>
      </c>
      <c r="G1815">
        <v>2</v>
      </c>
      <c r="H1815">
        <v>3</v>
      </c>
    </row>
    <row r="1816" spans="1:8" x14ac:dyDescent="0.3">
      <c r="A1816">
        <v>7</v>
      </c>
      <c r="B1816">
        <v>3</v>
      </c>
      <c r="C1816">
        <v>2</v>
      </c>
      <c r="D1816">
        <v>2</v>
      </c>
      <c r="E1816" t="s">
        <v>14</v>
      </c>
      <c r="F1816">
        <v>3</v>
      </c>
      <c r="G1816">
        <v>2</v>
      </c>
      <c r="H1816">
        <v>2</v>
      </c>
    </row>
    <row r="1817" spans="1:8" x14ac:dyDescent="0.3">
      <c r="A1817">
        <v>7</v>
      </c>
      <c r="B1817">
        <v>2</v>
      </c>
      <c r="C1817">
        <v>3</v>
      </c>
      <c r="D1817">
        <v>2</v>
      </c>
      <c r="E1817" t="s">
        <v>14</v>
      </c>
      <c r="F1817">
        <v>2</v>
      </c>
      <c r="G1817">
        <v>3</v>
      </c>
      <c r="H1817">
        <v>2</v>
      </c>
    </row>
    <row r="1818" spans="1:8" x14ac:dyDescent="0.3">
      <c r="A1818">
        <v>8</v>
      </c>
      <c r="B1818">
        <v>3</v>
      </c>
      <c r="C1818">
        <v>3</v>
      </c>
      <c r="D1818">
        <v>2</v>
      </c>
      <c r="E1818" t="s">
        <v>14</v>
      </c>
      <c r="F1818">
        <v>3</v>
      </c>
      <c r="G1818">
        <v>3</v>
      </c>
      <c r="H1818">
        <v>2</v>
      </c>
    </row>
    <row r="1819" spans="1:8" x14ac:dyDescent="0.3">
      <c r="A1819">
        <v>8</v>
      </c>
      <c r="B1819">
        <v>3</v>
      </c>
      <c r="C1819">
        <v>2</v>
      </c>
      <c r="D1819">
        <v>3</v>
      </c>
      <c r="E1819" t="s">
        <v>14</v>
      </c>
      <c r="F1819">
        <v>3</v>
      </c>
      <c r="G1819">
        <v>2</v>
      </c>
      <c r="H1819">
        <v>3</v>
      </c>
    </row>
    <row r="1820" spans="1:8" x14ac:dyDescent="0.3">
      <c r="A1820">
        <v>8</v>
      </c>
      <c r="B1820">
        <v>2</v>
      </c>
      <c r="C1820">
        <v>3</v>
      </c>
      <c r="D1820">
        <v>3</v>
      </c>
      <c r="E1820" t="s">
        <v>14</v>
      </c>
      <c r="F1820">
        <v>2</v>
      </c>
      <c r="G1820">
        <v>3</v>
      </c>
      <c r="H1820">
        <v>3</v>
      </c>
    </row>
    <row r="1821" spans="1:8" x14ac:dyDescent="0.3">
      <c r="A1821">
        <v>2</v>
      </c>
      <c r="B1821">
        <v>0</v>
      </c>
      <c r="C1821">
        <v>1</v>
      </c>
      <c r="D1821">
        <v>1</v>
      </c>
      <c r="E1821" t="s">
        <v>14</v>
      </c>
      <c r="F1821">
        <v>2</v>
      </c>
      <c r="G1821">
        <v>0</v>
      </c>
      <c r="H1821">
        <v>0</v>
      </c>
    </row>
    <row r="1822" spans="1:8" x14ac:dyDescent="0.3">
      <c r="A1822">
        <v>2</v>
      </c>
      <c r="B1822">
        <v>1</v>
      </c>
      <c r="C1822">
        <v>1</v>
      </c>
      <c r="D1822">
        <v>0</v>
      </c>
      <c r="E1822" t="s">
        <v>14</v>
      </c>
      <c r="F1822">
        <v>1</v>
      </c>
      <c r="G1822">
        <v>1</v>
      </c>
      <c r="H1822">
        <v>0</v>
      </c>
    </row>
    <row r="1823" spans="1:8" x14ac:dyDescent="0.3">
      <c r="A1823">
        <v>2</v>
      </c>
      <c r="B1823">
        <v>0</v>
      </c>
      <c r="C1823">
        <v>1</v>
      </c>
      <c r="D1823">
        <v>1</v>
      </c>
      <c r="E1823" t="s">
        <v>14</v>
      </c>
      <c r="F1823">
        <v>0</v>
      </c>
      <c r="G1823">
        <v>0</v>
      </c>
      <c r="H1823">
        <v>2</v>
      </c>
    </row>
    <row r="1824" spans="1:8" x14ac:dyDescent="0.3">
      <c r="A1824">
        <v>2</v>
      </c>
      <c r="B1824">
        <v>0</v>
      </c>
      <c r="C1824">
        <v>1</v>
      </c>
      <c r="D1824">
        <v>1</v>
      </c>
      <c r="E1824" t="s">
        <v>14</v>
      </c>
      <c r="F1824">
        <v>0</v>
      </c>
      <c r="G1824">
        <v>2</v>
      </c>
      <c r="H1824">
        <v>0</v>
      </c>
    </row>
    <row r="1825" spans="1:8" x14ac:dyDescent="0.3">
      <c r="A1825">
        <v>2</v>
      </c>
      <c r="B1825">
        <v>1</v>
      </c>
      <c r="C1825">
        <v>1</v>
      </c>
      <c r="D1825">
        <v>0</v>
      </c>
      <c r="E1825" t="s">
        <v>14</v>
      </c>
      <c r="F1825">
        <v>1</v>
      </c>
      <c r="G1825">
        <v>1</v>
      </c>
      <c r="H1825">
        <v>0</v>
      </c>
    </row>
    <row r="1826" spans="1:8" x14ac:dyDescent="0.3">
      <c r="A1826">
        <v>2</v>
      </c>
      <c r="B1826">
        <v>1</v>
      </c>
      <c r="C1826">
        <v>1</v>
      </c>
      <c r="D1826">
        <v>0</v>
      </c>
      <c r="E1826" t="s">
        <v>14</v>
      </c>
      <c r="F1826">
        <v>0</v>
      </c>
      <c r="G1826">
        <v>2</v>
      </c>
      <c r="H1826">
        <v>0</v>
      </c>
    </row>
    <row r="1827" spans="1:8" x14ac:dyDescent="0.3">
      <c r="A1827">
        <v>2</v>
      </c>
      <c r="B1827">
        <v>1</v>
      </c>
      <c r="C1827">
        <v>1</v>
      </c>
      <c r="D1827">
        <v>0</v>
      </c>
      <c r="E1827" t="s">
        <v>14</v>
      </c>
      <c r="F1827">
        <v>2</v>
      </c>
      <c r="G1827">
        <v>0</v>
      </c>
      <c r="H1827">
        <v>0</v>
      </c>
    </row>
    <row r="1828" spans="1:8" x14ac:dyDescent="0.3">
      <c r="A1828">
        <v>2</v>
      </c>
      <c r="B1828">
        <v>0</v>
      </c>
      <c r="C1828">
        <v>1</v>
      </c>
      <c r="D1828">
        <v>1</v>
      </c>
      <c r="E1828" t="s">
        <v>14</v>
      </c>
      <c r="F1828">
        <v>0</v>
      </c>
      <c r="G1828">
        <v>2</v>
      </c>
      <c r="H1828">
        <v>0</v>
      </c>
    </row>
    <row r="1829" spans="1:8" x14ac:dyDescent="0.3">
      <c r="A1829">
        <v>3</v>
      </c>
      <c r="B1829">
        <v>1</v>
      </c>
      <c r="C1829">
        <v>1</v>
      </c>
      <c r="D1829">
        <v>1</v>
      </c>
      <c r="E1829" t="s">
        <v>14</v>
      </c>
      <c r="F1829">
        <v>1</v>
      </c>
      <c r="G1829">
        <v>1</v>
      </c>
      <c r="H1829">
        <v>1</v>
      </c>
    </row>
    <row r="1830" spans="1:8" x14ac:dyDescent="0.3">
      <c r="A1830">
        <v>3</v>
      </c>
      <c r="B1830">
        <v>1</v>
      </c>
      <c r="C1830">
        <v>1</v>
      </c>
      <c r="D1830">
        <v>1</v>
      </c>
      <c r="E1830" t="s">
        <v>14</v>
      </c>
      <c r="F1830">
        <v>1</v>
      </c>
      <c r="G1830">
        <v>1</v>
      </c>
      <c r="H1830">
        <v>1</v>
      </c>
    </row>
    <row r="1831" spans="1:8" x14ac:dyDescent="0.3">
      <c r="A1831">
        <v>3</v>
      </c>
      <c r="B1831">
        <v>1</v>
      </c>
      <c r="C1831">
        <v>1</v>
      </c>
      <c r="D1831">
        <v>1</v>
      </c>
      <c r="E1831" t="s">
        <v>14</v>
      </c>
      <c r="F1831">
        <v>1</v>
      </c>
      <c r="G1831">
        <v>1</v>
      </c>
      <c r="H1831">
        <v>1</v>
      </c>
    </row>
    <row r="1832" spans="1:8" x14ac:dyDescent="0.3">
      <c r="A1832">
        <v>3</v>
      </c>
      <c r="B1832">
        <v>1</v>
      </c>
      <c r="C1832">
        <v>0</v>
      </c>
      <c r="D1832">
        <v>2</v>
      </c>
      <c r="E1832" t="s">
        <v>14</v>
      </c>
      <c r="F1832">
        <v>2</v>
      </c>
      <c r="G1832">
        <v>1</v>
      </c>
      <c r="H1832">
        <v>0</v>
      </c>
    </row>
    <row r="1833" spans="1:8" x14ac:dyDescent="0.3">
      <c r="A1833">
        <v>3</v>
      </c>
      <c r="B1833">
        <v>1</v>
      </c>
      <c r="C1833">
        <v>1</v>
      </c>
      <c r="D1833">
        <v>1</v>
      </c>
      <c r="E1833" t="s">
        <v>14</v>
      </c>
      <c r="F1833">
        <v>1</v>
      </c>
      <c r="G1833">
        <v>1</v>
      </c>
      <c r="H1833">
        <v>1</v>
      </c>
    </row>
    <row r="1834" spans="1:8" x14ac:dyDescent="0.3">
      <c r="A1834">
        <v>3</v>
      </c>
      <c r="B1834">
        <v>2</v>
      </c>
      <c r="C1834">
        <v>1</v>
      </c>
      <c r="D1834">
        <v>0</v>
      </c>
      <c r="E1834" t="s">
        <v>14</v>
      </c>
      <c r="F1834">
        <v>2</v>
      </c>
      <c r="G1834">
        <v>1</v>
      </c>
      <c r="H1834">
        <v>0</v>
      </c>
    </row>
    <row r="1835" spans="1:8" x14ac:dyDescent="0.3">
      <c r="A1835">
        <v>3</v>
      </c>
      <c r="B1835">
        <v>1</v>
      </c>
      <c r="C1835">
        <v>0</v>
      </c>
      <c r="D1835">
        <v>2</v>
      </c>
      <c r="E1835" t="s">
        <v>14</v>
      </c>
      <c r="F1835">
        <v>1</v>
      </c>
      <c r="G1835">
        <v>0</v>
      </c>
      <c r="H1835">
        <v>2</v>
      </c>
    </row>
    <row r="1836" spans="1:8" x14ac:dyDescent="0.3">
      <c r="A1836">
        <v>3</v>
      </c>
      <c r="B1836">
        <v>1</v>
      </c>
      <c r="C1836">
        <v>1</v>
      </c>
      <c r="D1836">
        <v>1</v>
      </c>
      <c r="E1836" t="s">
        <v>14</v>
      </c>
      <c r="F1836">
        <v>1</v>
      </c>
      <c r="G1836">
        <v>1</v>
      </c>
      <c r="H1836">
        <v>1</v>
      </c>
    </row>
    <row r="1837" spans="1:8" x14ac:dyDescent="0.3">
      <c r="A1837">
        <v>3</v>
      </c>
      <c r="B1837">
        <v>1</v>
      </c>
      <c r="C1837">
        <v>1</v>
      </c>
      <c r="D1837">
        <v>1</v>
      </c>
      <c r="E1837" t="s">
        <v>14</v>
      </c>
      <c r="F1837">
        <v>1</v>
      </c>
      <c r="G1837">
        <v>1</v>
      </c>
      <c r="H1837">
        <v>1</v>
      </c>
    </row>
    <row r="1838" spans="1:8" x14ac:dyDescent="0.3">
      <c r="A1838">
        <v>3</v>
      </c>
      <c r="B1838">
        <v>1</v>
      </c>
      <c r="C1838">
        <v>0</v>
      </c>
      <c r="D1838">
        <v>2</v>
      </c>
      <c r="E1838" t="s">
        <v>14</v>
      </c>
      <c r="F1838">
        <v>1</v>
      </c>
      <c r="G1838">
        <v>0</v>
      </c>
      <c r="H1838">
        <v>2</v>
      </c>
    </row>
    <row r="1839" spans="1:8" x14ac:dyDescent="0.3">
      <c r="A1839">
        <v>3</v>
      </c>
      <c r="B1839">
        <v>2</v>
      </c>
      <c r="C1839">
        <v>1</v>
      </c>
      <c r="D1839">
        <v>0</v>
      </c>
      <c r="E1839" t="s">
        <v>14</v>
      </c>
      <c r="F1839">
        <v>2</v>
      </c>
      <c r="G1839">
        <v>1</v>
      </c>
      <c r="H1839">
        <v>0</v>
      </c>
    </row>
    <row r="1840" spans="1:8" x14ac:dyDescent="0.3">
      <c r="A1840">
        <v>3</v>
      </c>
      <c r="B1840">
        <v>1</v>
      </c>
      <c r="C1840">
        <v>1</v>
      </c>
      <c r="D1840">
        <v>1</v>
      </c>
      <c r="E1840" t="s">
        <v>14</v>
      </c>
      <c r="F1840">
        <v>1</v>
      </c>
      <c r="G1840">
        <v>1</v>
      </c>
      <c r="H1840">
        <v>1</v>
      </c>
    </row>
    <row r="1841" spans="1:8" x14ac:dyDescent="0.3">
      <c r="A1841">
        <v>3</v>
      </c>
      <c r="B1841">
        <v>1</v>
      </c>
      <c r="C1841">
        <v>1</v>
      </c>
      <c r="D1841">
        <v>1</v>
      </c>
      <c r="E1841" t="s">
        <v>14</v>
      </c>
      <c r="F1841">
        <v>1</v>
      </c>
      <c r="G1841">
        <v>1</v>
      </c>
      <c r="H1841">
        <v>1</v>
      </c>
    </row>
    <row r="1842" spans="1:8" x14ac:dyDescent="0.3">
      <c r="A1842">
        <v>3</v>
      </c>
      <c r="B1842">
        <v>1</v>
      </c>
      <c r="C1842">
        <v>1</v>
      </c>
      <c r="D1842">
        <v>1</v>
      </c>
      <c r="E1842" t="s">
        <v>14</v>
      </c>
      <c r="F1842">
        <v>2</v>
      </c>
      <c r="G1842">
        <v>1</v>
      </c>
      <c r="H1842">
        <v>0</v>
      </c>
    </row>
    <row r="1843" spans="1:8" x14ac:dyDescent="0.3">
      <c r="A1843">
        <v>3</v>
      </c>
      <c r="B1843">
        <v>1</v>
      </c>
      <c r="C1843">
        <v>1</v>
      </c>
      <c r="D1843">
        <v>1</v>
      </c>
      <c r="E1843" t="s">
        <v>14</v>
      </c>
      <c r="F1843">
        <v>1</v>
      </c>
      <c r="G1843">
        <v>0</v>
      </c>
      <c r="H1843">
        <v>2</v>
      </c>
    </row>
    <row r="1844" spans="1:8" x14ac:dyDescent="0.3">
      <c r="A1844">
        <v>3</v>
      </c>
      <c r="B1844">
        <v>1</v>
      </c>
      <c r="C1844">
        <v>1</v>
      </c>
      <c r="D1844">
        <v>1</v>
      </c>
      <c r="E1844" t="s">
        <v>14</v>
      </c>
      <c r="F1844">
        <v>2</v>
      </c>
      <c r="G1844">
        <v>1</v>
      </c>
      <c r="H1844">
        <v>0</v>
      </c>
    </row>
    <row r="1845" spans="1:8" x14ac:dyDescent="0.3">
      <c r="A1845">
        <v>3</v>
      </c>
      <c r="B1845">
        <v>1</v>
      </c>
      <c r="C1845">
        <v>1</v>
      </c>
      <c r="D1845">
        <v>1</v>
      </c>
      <c r="E1845" t="s">
        <v>14</v>
      </c>
      <c r="F1845">
        <v>1</v>
      </c>
      <c r="G1845">
        <v>1</v>
      </c>
      <c r="H1845">
        <v>1</v>
      </c>
    </row>
    <row r="1846" spans="1:8" x14ac:dyDescent="0.3">
      <c r="A1846">
        <v>3</v>
      </c>
      <c r="B1846">
        <v>1</v>
      </c>
      <c r="C1846">
        <v>1</v>
      </c>
      <c r="D1846">
        <v>1</v>
      </c>
      <c r="E1846" t="s">
        <v>14</v>
      </c>
      <c r="F1846">
        <v>1</v>
      </c>
      <c r="G1846">
        <v>1</v>
      </c>
      <c r="H1846">
        <v>1</v>
      </c>
    </row>
    <row r="1847" spans="1:8" x14ac:dyDescent="0.3">
      <c r="A1847">
        <v>3</v>
      </c>
      <c r="B1847">
        <v>1</v>
      </c>
      <c r="C1847">
        <v>1</v>
      </c>
      <c r="D1847">
        <v>1</v>
      </c>
      <c r="E1847" t="s">
        <v>14</v>
      </c>
      <c r="F1847">
        <v>1</v>
      </c>
      <c r="G1847">
        <v>1</v>
      </c>
      <c r="H1847">
        <v>1</v>
      </c>
    </row>
    <row r="1848" spans="1:8" x14ac:dyDescent="0.3">
      <c r="A1848">
        <v>3</v>
      </c>
      <c r="B1848">
        <v>2</v>
      </c>
      <c r="C1848">
        <v>1</v>
      </c>
      <c r="D1848">
        <v>0</v>
      </c>
      <c r="E1848" t="s">
        <v>14</v>
      </c>
      <c r="F1848">
        <v>2</v>
      </c>
      <c r="G1848">
        <v>1</v>
      </c>
      <c r="H1848">
        <v>0</v>
      </c>
    </row>
    <row r="1849" spans="1:8" x14ac:dyDescent="0.3">
      <c r="A1849">
        <v>3</v>
      </c>
      <c r="B1849">
        <v>1</v>
      </c>
      <c r="C1849">
        <v>1</v>
      </c>
      <c r="D1849">
        <v>1</v>
      </c>
      <c r="E1849" t="s">
        <v>14</v>
      </c>
      <c r="F1849">
        <v>2</v>
      </c>
      <c r="G1849">
        <v>1</v>
      </c>
      <c r="H1849">
        <v>0</v>
      </c>
    </row>
    <row r="1850" spans="1:8" x14ac:dyDescent="0.3">
      <c r="A1850">
        <v>3</v>
      </c>
      <c r="B1850">
        <v>1</v>
      </c>
      <c r="C1850">
        <v>1</v>
      </c>
      <c r="D1850">
        <v>1</v>
      </c>
      <c r="E1850" t="s">
        <v>14</v>
      </c>
      <c r="F1850">
        <v>2</v>
      </c>
      <c r="G1850">
        <v>1</v>
      </c>
      <c r="H1850">
        <v>0</v>
      </c>
    </row>
    <row r="1851" spans="1:8" x14ac:dyDescent="0.3">
      <c r="A1851">
        <v>3</v>
      </c>
      <c r="B1851">
        <v>1</v>
      </c>
      <c r="C1851">
        <v>1</v>
      </c>
      <c r="D1851">
        <v>1</v>
      </c>
      <c r="E1851" t="s">
        <v>14</v>
      </c>
      <c r="F1851">
        <v>1</v>
      </c>
      <c r="G1851">
        <v>1</v>
      </c>
      <c r="H1851">
        <v>1</v>
      </c>
    </row>
    <row r="1852" spans="1:8" x14ac:dyDescent="0.3">
      <c r="A1852">
        <v>3</v>
      </c>
      <c r="B1852">
        <v>1</v>
      </c>
      <c r="C1852">
        <v>0</v>
      </c>
      <c r="D1852">
        <v>2</v>
      </c>
      <c r="E1852" t="s">
        <v>14</v>
      </c>
      <c r="F1852">
        <v>0</v>
      </c>
      <c r="G1852">
        <v>2</v>
      </c>
      <c r="H1852">
        <v>1</v>
      </c>
    </row>
    <row r="1853" spans="1:8" x14ac:dyDescent="0.3">
      <c r="A1853">
        <v>3</v>
      </c>
      <c r="B1853">
        <v>1</v>
      </c>
      <c r="C1853">
        <v>1</v>
      </c>
      <c r="D1853">
        <v>1</v>
      </c>
      <c r="E1853" t="s">
        <v>14</v>
      </c>
      <c r="F1853">
        <v>1</v>
      </c>
      <c r="G1853">
        <v>1</v>
      </c>
      <c r="H1853">
        <v>1</v>
      </c>
    </row>
    <row r="1854" spans="1:8" x14ac:dyDescent="0.3">
      <c r="A1854">
        <v>3</v>
      </c>
      <c r="B1854">
        <v>1</v>
      </c>
      <c r="C1854">
        <v>1</v>
      </c>
      <c r="D1854">
        <v>1</v>
      </c>
      <c r="E1854" t="s">
        <v>14</v>
      </c>
      <c r="F1854">
        <v>1</v>
      </c>
      <c r="G1854">
        <v>1</v>
      </c>
      <c r="H1854">
        <v>1</v>
      </c>
    </row>
    <row r="1855" spans="1:8" x14ac:dyDescent="0.3">
      <c r="A1855">
        <v>3</v>
      </c>
      <c r="B1855">
        <v>1</v>
      </c>
      <c r="C1855">
        <v>1</v>
      </c>
      <c r="D1855">
        <v>1</v>
      </c>
      <c r="E1855" t="s">
        <v>14</v>
      </c>
      <c r="F1855">
        <v>1</v>
      </c>
      <c r="G1855">
        <v>1</v>
      </c>
      <c r="H1855">
        <v>1</v>
      </c>
    </row>
    <row r="1856" spans="1:8" x14ac:dyDescent="0.3">
      <c r="A1856">
        <v>3</v>
      </c>
      <c r="B1856">
        <v>1</v>
      </c>
      <c r="C1856">
        <v>1</v>
      </c>
      <c r="D1856">
        <v>1</v>
      </c>
      <c r="E1856" t="s">
        <v>14</v>
      </c>
      <c r="F1856">
        <v>1</v>
      </c>
      <c r="G1856">
        <v>1</v>
      </c>
      <c r="H1856">
        <v>1</v>
      </c>
    </row>
    <row r="1857" spans="1:8" x14ac:dyDescent="0.3">
      <c r="A1857">
        <v>3</v>
      </c>
      <c r="B1857">
        <v>1</v>
      </c>
      <c r="C1857">
        <v>1</v>
      </c>
      <c r="D1857">
        <v>1</v>
      </c>
      <c r="E1857" t="s">
        <v>14</v>
      </c>
      <c r="F1857">
        <v>0</v>
      </c>
      <c r="G1857">
        <v>2</v>
      </c>
      <c r="H1857">
        <v>1</v>
      </c>
    </row>
    <row r="1858" spans="1:8" x14ac:dyDescent="0.3">
      <c r="A1858">
        <v>3</v>
      </c>
      <c r="B1858">
        <v>0</v>
      </c>
      <c r="C1858">
        <v>2</v>
      </c>
      <c r="D1858">
        <v>1</v>
      </c>
      <c r="E1858" t="s">
        <v>14</v>
      </c>
      <c r="F1858">
        <v>0</v>
      </c>
      <c r="G1858">
        <v>2</v>
      </c>
      <c r="H1858">
        <v>1</v>
      </c>
    </row>
    <row r="1859" spans="1:8" x14ac:dyDescent="0.3">
      <c r="A1859">
        <v>3</v>
      </c>
      <c r="B1859">
        <v>1</v>
      </c>
      <c r="C1859">
        <v>1</v>
      </c>
      <c r="D1859">
        <v>1</v>
      </c>
      <c r="E1859" t="s">
        <v>14</v>
      </c>
      <c r="F1859">
        <v>1</v>
      </c>
      <c r="G1859">
        <v>1</v>
      </c>
      <c r="H1859">
        <v>1</v>
      </c>
    </row>
    <row r="1860" spans="1:8" x14ac:dyDescent="0.3">
      <c r="A1860">
        <v>3</v>
      </c>
      <c r="B1860">
        <v>0</v>
      </c>
      <c r="C1860">
        <v>2</v>
      </c>
      <c r="D1860">
        <v>1</v>
      </c>
      <c r="E1860" t="s">
        <v>14</v>
      </c>
      <c r="F1860">
        <v>2</v>
      </c>
      <c r="G1860">
        <v>1</v>
      </c>
      <c r="H1860">
        <v>0</v>
      </c>
    </row>
    <row r="1861" spans="1:8" x14ac:dyDescent="0.3">
      <c r="A1861">
        <v>3</v>
      </c>
      <c r="B1861">
        <v>1</v>
      </c>
      <c r="C1861">
        <v>1</v>
      </c>
      <c r="D1861">
        <v>1</v>
      </c>
      <c r="E1861" t="s">
        <v>14</v>
      </c>
      <c r="F1861">
        <v>0</v>
      </c>
      <c r="G1861">
        <v>2</v>
      </c>
      <c r="H1861">
        <v>1</v>
      </c>
    </row>
    <row r="1862" spans="1:8" x14ac:dyDescent="0.3">
      <c r="A1862">
        <v>3</v>
      </c>
      <c r="B1862">
        <v>1</v>
      </c>
      <c r="C1862">
        <v>1</v>
      </c>
      <c r="D1862">
        <v>1</v>
      </c>
      <c r="E1862" t="s">
        <v>14</v>
      </c>
      <c r="F1862">
        <v>0</v>
      </c>
      <c r="G1862">
        <v>2</v>
      </c>
      <c r="H1862">
        <v>1</v>
      </c>
    </row>
    <row r="1863" spans="1:8" x14ac:dyDescent="0.3">
      <c r="A1863">
        <v>3</v>
      </c>
      <c r="B1863">
        <v>1</v>
      </c>
      <c r="C1863">
        <v>1</v>
      </c>
      <c r="D1863">
        <v>1</v>
      </c>
      <c r="E1863" t="s">
        <v>14</v>
      </c>
      <c r="F1863">
        <v>0</v>
      </c>
      <c r="G1863">
        <v>2</v>
      </c>
      <c r="H1863">
        <v>1</v>
      </c>
    </row>
    <row r="1864" spans="1:8" x14ac:dyDescent="0.3">
      <c r="A1864">
        <v>3</v>
      </c>
      <c r="B1864">
        <v>1</v>
      </c>
      <c r="C1864">
        <v>1</v>
      </c>
      <c r="D1864">
        <v>1</v>
      </c>
      <c r="E1864" t="s">
        <v>14</v>
      </c>
      <c r="F1864">
        <v>1</v>
      </c>
      <c r="G1864">
        <v>0</v>
      </c>
      <c r="H1864">
        <v>2</v>
      </c>
    </row>
    <row r="1865" spans="1:8" x14ac:dyDescent="0.3">
      <c r="A1865">
        <v>3</v>
      </c>
      <c r="B1865">
        <v>2</v>
      </c>
      <c r="C1865">
        <v>1</v>
      </c>
      <c r="D1865">
        <v>0</v>
      </c>
      <c r="E1865" t="s">
        <v>14</v>
      </c>
      <c r="F1865">
        <v>2</v>
      </c>
      <c r="G1865">
        <v>1</v>
      </c>
      <c r="H1865">
        <v>0</v>
      </c>
    </row>
    <row r="1866" spans="1:8" x14ac:dyDescent="0.3">
      <c r="A1866">
        <v>3</v>
      </c>
      <c r="B1866">
        <v>1</v>
      </c>
      <c r="C1866">
        <v>1</v>
      </c>
      <c r="D1866">
        <v>1</v>
      </c>
      <c r="E1866" t="s">
        <v>14</v>
      </c>
      <c r="F1866">
        <v>1</v>
      </c>
      <c r="G1866">
        <v>1</v>
      </c>
      <c r="H1866">
        <v>1</v>
      </c>
    </row>
    <row r="1867" spans="1:8" x14ac:dyDescent="0.3">
      <c r="A1867">
        <v>4</v>
      </c>
      <c r="B1867">
        <v>1</v>
      </c>
      <c r="C1867">
        <v>2</v>
      </c>
      <c r="D1867">
        <v>1</v>
      </c>
      <c r="E1867" t="s">
        <v>14</v>
      </c>
      <c r="F1867">
        <v>1</v>
      </c>
      <c r="G1867">
        <v>2</v>
      </c>
      <c r="H1867">
        <v>1</v>
      </c>
    </row>
    <row r="1868" spans="1:8" x14ac:dyDescent="0.3">
      <c r="A1868">
        <v>4</v>
      </c>
      <c r="B1868">
        <v>1</v>
      </c>
      <c r="C1868">
        <v>2</v>
      </c>
      <c r="D1868">
        <v>1</v>
      </c>
      <c r="E1868" t="s">
        <v>14</v>
      </c>
      <c r="F1868">
        <v>1</v>
      </c>
      <c r="G1868">
        <v>2</v>
      </c>
      <c r="H1868">
        <v>1</v>
      </c>
    </row>
    <row r="1869" spans="1:8" x14ac:dyDescent="0.3">
      <c r="A1869">
        <v>4</v>
      </c>
      <c r="B1869">
        <v>1</v>
      </c>
      <c r="C1869">
        <v>1</v>
      </c>
      <c r="D1869">
        <v>2</v>
      </c>
      <c r="E1869" t="s">
        <v>14</v>
      </c>
      <c r="F1869">
        <v>1</v>
      </c>
      <c r="G1869">
        <v>1</v>
      </c>
      <c r="H1869">
        <v>2</v>
      </c>
    </row>
    <row r="1870" spans="1:8" x14ac:dyDescent="0.3">
      <c r="A1870">
        <v>4</v>
      </c>
      <c r="B1870">
        <v>1</v>
      </c>
      <c r="C1870">
        <v>1</v>
      </c>
      <c r="D1870">
        <v>2</v>
      </c>
      <c r="E1870" t="s">
        <v>14</v>
      </c>
      <c r="F1870">
        <v>2</v>
      </c>
      <c r="G1870">
        <v>0</v>
      </c>
      <c r="H1870">
        <v>2</v>
      </c>
    </row>
    <row r="1871" spans="1:8" x14ac:dyDescent="0.3">
      <c r="A1871">
        <v>4</v>
      </c>
      <c r="B1871">
        <v>1</v>
      </c>
      <c r="C1871">
        <v>1</v>
      </c>
      <c r="D1871">
        <v>2</v>
      </c>
      <c r="E1871" t="s">
        <v>14</v>
      </c>
      <c r="F1871">
        <v>1</v>
      </c>
      <c r="G1871">
        <v>1</v>
      </c>
      <c r="H1871">
        <v>2</v>
      </c>
    </row>
    <row r="1872" spans="1:8" x14ac:dyDescent="0.3">
      <c r="A1872">
        <v>4</v>
      </c>
      <c r="B1872">
        <v>1</v>
      </c>
      <c r="C1872">
        <v>1</v>
      </c>
      <c r="D1872">
        <v>2</v>
      </c>
      <c r="E1872" t="s">
        <v>14</v>
      </c>
      <c r="F1872">
        <v>1</v>
      </c>
      <c r="G1872">
        <v>1</v>
      </c>
      <c r="H1872">
        <v>2</v>
      </c>
    </row>
    <row r="1873" spans="1:8" x14ac:dyDescent="0.3">
      <c r="A1873">
        <v>4</v>
      </c>
      <c r="B1873">
        <v>1</v>
      </c>
      <c r="C1873">
        <v>1</v>
      </c>
      <c r="D1873">
        <v>2</v>
      </c>
      <c r="E1873" t="s">
        <v>14</v>
      </c>
      <c r="F1873">
        <v>1</v>
      </c>
      <c r="G1873">
        <v>1</v>
      </c>
      <c r="H1873">
        <v>2</v>
      </c>
    </row>
    <row r="1874" spans="1:8" x14ac:dyDescent="0.3">
      <c r="A1874">
        <v>4</v>
      </c>
      <c r="B1874">
        <v>2</v>
      </c>
      <c r="C1874">
        <v>1</v>
      </c>
      <c r="D1874">
        <v>1</v>
      </c>
      <c r="E1874" t="s">
        <v>14</v>
      </c>
      <c r="F1874">
        <v>0</v>
      </c>
      <c r="G1874">
        <v>2</v>
      </c>
      <c r="H1874">
        <v>2</v>
      </c>
    </row>
    <row r="1875" spans="1:8" x14ac:dyDescent="0.3">
      <c r="A1875">
        <v>4</v>
      </c>
      <c r="B1875">
        <v>2</v>
      </c>
      <c r="C1875">
        <v>1</v>
      </c>
      <c r="D1875">
        <v>1</v>
      </c>
      <c r="E1875" t="s">
        <v>14</v>
      </c>
      <c r="F1875">
        <v>2</v>
      </c>
      <c r="G1875">
        <v>1</v>
      </c>
      <c r="H1875">
        <v>1</v>
      </c>
    </row>
    <row r="1876" spans="1:8" x14ac:dyDescent="0.3">
      <c r="A1876">
        <v>4</v>
      </c>
      <c r="B1876">
        <v>2</v>
      </c>
      <c r="C1876">
        <v>1</v>
      </c>
      <c r="D1876">
        <v>1</v>
      </c>
      <c r="E1876" t="s">
        <v>14</v>
      </c>
      <c r="F1876">
        <v>2</v>
      </c>
      <c r="G1876">
        <v>0</v>
      </c>
      <c r="H1876">
        <v>2</v>
      </c>
    </row>
    <row r="1877" spans="1:8" x14ac:dyDescent="0.3">
      <c r="A1877">
        <v>4</v>
      </c>
      <c r="B1877">
        <v>1</v>
      </c>
      <c r="C1877">
        <v>2</v>
      </c>
      <c r="D1877">
        <v>1</v>
      </c>
      <c r="E1877" t="s">
        <v>14</v>
      </c>
      <c r="F1877">
        <v>2</v>
      </c>
      <c r="G1877">
        <v>0</v>
      </c>
      <c r="H1877">
        <v>2</v>
      </c>
    </row>
    <row r="1878" spans="1:8" x14ac:dyDescent="0.3">
      <c r="A1878">
        <v>4</v>
      </c>
      <c r="B1878">
        <v>1</v>
      </c>
      <c r="C1878">
        <v>1</v>
      </c>
      <c r="D1878">
        <v>2</v>
      </c>
      <c r="E1878" t="s">
        <v>14</v>
      </c>
      <c r="F1878">
        <v>1</v>
      </c>
      <c r="G1878">
        <v>1</v>
      </c>
      <c r="H1878">
        <v>2</v>
      </c>
    </row>
    <row r="1879" spans="1:8" x14ac:dyDescent="0.3">
      <c r="A1879">
        <v>4</v>
      </c>
      <c r="B1879">
        <v>1</v>
      </c>
      <c r="C1879">
        <v>1</v>
      </c>
      <c r="D1879">
        <v>2</v>
      </c>
      <c r="E1879" t="s">
        <v>14</v>
      </c>
      <c r="F1879">
        <v>1</v>
      </c>
      <c r="G1879">
        <v>1</v>
      </c>
      <c r="H1879">
        <v>2</v>
      </c>
    </row>
    <row r="1880" spans="1:8" x14ac:dyDescent="0.3">
      <c r="A1880">
        <v>5</v>
      </c>
      <c r="B1880">
        <v>2</v>
      </c>
      <c r="C1880">
        <v>2</v>
      </c>
      <c r="D1880">
        <v>1</v>
      </c>
      <c r="E1880" t="s">
        <v>14</v>
      </c>
      <c r="F1880">
        <v>2</v>
      </c>
      <c r="G1880">
        <v>2</v>
      </c>
      <c r="H1880">
        <v>1</v>
      </c>
    </row>
    <row r="1881" spans="1:8" x14ac:dyDescent="0.3">
      <c r="A1881">
        <v>5</v>
      </c>
      <c r="B1881">
        <v>1</v>
      </c>
      <c r="C1881">
        <v>2</v>
      </c>
      <c r="D1881">
        <v>2</v>
      </c>
      <c r="E1881" t="s">
        <v>14</v>
      </c>
      <c r="F1881">
        <v>3</v>
      </c>
      <c r="G1881">
        <v>0</v>
      </c>
      <c r="H1881">
        <v>2</v>
      </c>
    </row>
    <row r="1882" spans="1:8" x14ac:dyDescent="0.3">
      <c r="A1882">
        <v>5</v>
      </c>
      <c r="B1882">
        <v>1</v>
      </c>
      <c r="C1882">
        <v>2</v>
      </c>
      <c r="D1882">
        <v>2</v>
      </c>
      <c r="E1882" t="s">
        <v>14</v>
      </c>
      <c r="F1882">
        <v>1</v>
      </c>
      <c r="G1882">
        <v>2</v>
      </c>
      <c r="H1882">
        <v>2</v>
      </c>
    </row>
    <row r="1883" spans="1:8" x14ac:dyDescent="0.3">
      <c r="A1883">
        <v>5</v>
      </c>
      <c r="B1883">
        <v>1</v>
      </c>
      <c r="C1883">
        <v>2</v>
      </c>
      <c r="D1883">
        <v>2</v>
      </c>
      <c r="E1883" t="s">
        <v>14</v>
      </c>
      <c r="F1883">
        <v>1</v>
      </c>
      <c r="G1883">
        <v>2</v>
      </c>
      <c r="H1883">
        <v>2</v>
      </c>
    </row>
    <row r="1884" spans="1:8" x14ac:dyDescent="0.3">
      <c r="A1884">
        <v>5</v>
      </c>
      <c r="B1884">
        <v>1</v>
      </c>
      <c r="C1884">
        <v>2</v>
      </c>
      <c r="D1884">
        <v>2</v>
      </c>
      <c r="E1884" t="s">
        <v>14</v>
      </c>
      <c r="F1884">
        <v>3</v>
      </c>
      <c r="G1884">
        <v>0</v>
      </c>
      <c r="H1884">
        <v>2</v>
      </c>
    </row>
    <row r="1885" spans="1:8" x14ac:dyDescent="0.3">
      <c r="A1885">
        <v>5</v>
      </c>
      <c r="B1885">
        <v>2</v>
      </c>
      <c r="C1885">
        <v>1</v>
      </c>
      <c r="D1885">
        <v>2</v>
      </c>
      <c r="E1885" t="s">
        <v>14</v>
      </c>
      <c r="F1885">
        <v>2</v>
      </c>
      <c r="G1885">
        <v>1</v>
      </c>
      <c r="H1885">
        <v>2</v>
      </c>
    </row>
    <row r="1886" spans="1:8" x14ac:dyDescent="0.3">
      <c r="A1886">
        <v>6</v>
      </c>
      <c r="B1886">
        <v>1</v>
      </c>
      <c r="C1886">
        <v>2</v>
      </c>
      <c r="D1886">
        <v>3</v>
      </c>
      <c r="E1886" t="s">
        <v>14</v>
      </c>
      <c r="F1886">
        <v>1</v>
      </c>
      <c r="G1886">
        <v>2</v>
      </c>
      <c r="H1886">
        <v>3</v>
      </c>
    </row>
    <row r="1887" spans="1:8" x14ac:dyDescent="0.3">
      <c r="A1887">
        <v>7</v>
      </c>
      <c r="B1887">
        <v>2</v>
      </c>
      <c r="C1887">
        <v>2</v>
      </c>
      <c r="D1887">
        <v>3</v>
      </c>
      <c r="E1887" t="s">
        <v>14</v>
      </c>
      <c r="F1887">
        <v>2</v>
      </c>
      <c r="G1887">
        <v>2</v>
      </c>
      <c r="H1887">
        <v>3</v>
      </c>
    </row>
    <row r="1888" spans="1:8" x14ac:dyDescent="0.3">
      <c r="A1888">
        <v>7</v>
      </c>
      <c r="B1888">
        <v>3</v>
      </c>
      <c r="C1888">
        <v>2</v>
      </c>
      <c r="D1888">
        <v>2</v>
      </c>
      <c r="E1888" t="s">
        <v>14</v>
      </c>
      <c r="F1888">
        <v>3</v>
      </c>
      <c r="G1888">
        <v>2</v>
      </c>
      <c r="H1888">
        <v>2</v>
      </c>
    </row>
    <row r="1889" spans="1:8" x14ac:dyDescent="0.3">
      <c r="A1889">
        <v>7</v>
      </c>
      <c r="B1889">
        <v>3</v>
      </c>
      <c r="C1889">
        <v>2</v>
      </c>
      <c r="D1889">
        <v>2</v>
      </c>
      <c r="E1889" t="s">
        <v>14</v>
      </c>
      <c r="F1889">
        <v>3</v>
      </c>
      <c r="G1889">
        <v>2</v>
      </c>
      <c r="H1889">
        <v>2</v>
      </c>
    </row>
    <row r="1890" spans="1:8" x14ac:dyDescent="0.3">
      <c r="A1890">
        <v>7</v>
      </c>
      <c r="B1890">
        <v>3</v>
      </c>
      <c r="C1890">
        <v>2</v>
      </c>
      <c r="D1890">
        <v>2</v>
      </c>
      <c r="E1890" t="s">
        <v>14</v>
      </c>
      <c r="F1890">
        <v>3</v>
      </c>
      <c r="G1890">
        <v>2</v>
      </c>
      <c r="H1890">
        <v>2</v>
      </c>
    </row>
    <row r="1891" spans="1:8" x14ac:dyDescent="0.3">
      <c r="A1891">
        <v>2</v>
      </c>
      <c r="B1891">
        <v>1</v>
      </c>
      <c r="C1891">
        <v>1</v>
      </c>
      <c r="D1891">
        <v>0</v>
      </c>
      <c r="E1891" t="s">
        <v>14</v>
      </c>
      <c r="F1891">
        <v>0</v>
      </c>
      <c r="G1891">
        <v>2</v>
      </c>
      <c r="H1891">
        <v>0</v>
      </c>
    </row>
    <row r="1892" spans="1:8" x14ac:dyDescent="0.3">
      <c r="A1892">
        <v>2</v>
      </c>
      <c r="B1892">
        <v>1</v>
      </c>
      <c r="C1892">
        <v>0</v>
      </c>
      <c r="D1892">
        <v>1</v>
      </c>
      <c r="E1892" t="s">
        <v>14</v>
      </c>
      <c r="F1892">
        <v>2</v>
      </c>
      <c r="G1892">
        <v>0</v>
      </c>
      <c r="H1892">
        <v>0</v>
      </c>
    </row>
    <row r="1893" spans="1:8" x14ac:dyDescent="0.3">
      <c r="A1893">
        <v>2</v>
      </c>
      <c r="B1893">
        <v>1</v>
      </c>
      <c r="C1893">
        <v>1</v>
      </c>
      <c r="D1893">
        <v>0</v>
      </c>
      <c r="E1893" t="s">
        <v>14</v>
      </c>
      <c r="F1893">
        <v>1</v>
      </c>
      <c r="G1893">
        <v>1</v>
      </c>
      <c r="H1893">
        <v>0</v>
      </c>
    </row>
    <row r="1894" spans="1:8" x14ac:dyDescent="0.3">
      <c r="A1894">
        <v>2</v>
      </c>
      <c r="B1894">
        <v>0</v>
      </c>
      <c r="C1894">
        <v>1</v>
      </c>
      <c r="D1894">
        <v>1</v>
      </c>
      <c r="E1894" t="s">
        <v>14</v>
      </c>
      <c r="F1894">
        <v>2</v>
      </c>
      <c r="G1894">
        <v>0</v>
      </c>
      <c r="H1894">
        <v>0</v>
      </c>
    </row>
    <row r="1895" spans="1:8" x14ac:dyDescent="0.3">
      <c r="A1895">
        <v>2</v>
      </c>
      <c r="B1895">
        <v>1</v>
      </c>
      <c r="C1895">
        <v>1</v>
      </c>
      <c r="D1895">
        <v>0</v>
      </c>
      <c r="E1895" t="s">
        <v>14</v>
      </c>
      <c r="F1895">
        <v>0</v>
      </c>
      <c r="G1895">
        <v>0</v>
      </c>
      <c r="H1895">
        <v>2</v>
      </c>
    </row>
    <row r="1896" spans="1:8" x14ac:dyDescent="0.3">
      <c r="A1896">
        <v>3</v>
      </c>
      <c r="B1896">
        <v>2</v>
      </c>
      <c r="C1896">
        <v>1</v>
      </c>
      <c r="D1896">
        <v>0</v>
      </c>
      <c r="E1896" t="s">
        <v>14</v>
      </c>
      <c r="F1896">
        <v>2</v>
      </c>
      <c r="G1896">
        <v>1</v>
      </c>
      <c r="H1896">
        <v>0</v>
      </c>
    </row>
    <row r="1897" spans="1:8" x14ac:dyDescent="0.3">
      <c r="A1897">
        <v>3</v>
      </c>
      <c r="B1897">
        <v>1</v>
      </c>
      <c r="C1897">
        <v>1</v>
      </c>
      <c r="D1897">
        <v>1</v>
      </c>
      <c r="E1897" t="s">
        <v>14</v>
      </c>
      <c r="F1897">
        <v>1</v>
      </c>
      <c r="G1897">
        <v>1</v>
      </c>
      <c r="H1897">
        <v>1</v>
      </c>
    </row>
    <row r="1898" spans="1:8" x14ac:dyDescent="0.3">
      <c r="A1898">
        <v>3</v>
      </c>
      <c r="B1898">
        <v>1</v>
      </c>
      <c r="C1898">
        <v>1</v>
      </c>
      <c r="D1898">
        <v>1</v>
      </c>
      <c r="E1898" t="s">
        <v>14</v>
      </c>
      <c r="F1898">
        <v>1</v>
      </c>
      <c r="G1898">
        <v>1</v>
      </c>
      <c r="H1898">
        <v>1</v>
      </c>
    </row>
    <row r="1899" spans="1:8" x14ac:dyDescent="0.3">
      <c r="A1899">
        <v>3</v>
      </c>
      <c r="B1899">
        <v>1</v>
      </c>
      <c r="C1899">
        <v>1</v>
      </c>
      <c r="D1899">
        <v>1</v>
      </c>
      <c r="E1899" t="s">
        <v>14</v>
      </c>
      <c r="F1899">
        <v>2</v>
      </c>
      <c r="G1899">
        <v>1</v>
      </c>
      <c r="H1899">
        <v>0</v>
      </c>
    </row>
    <row r="1900" spans="1:8" x14ac:dyDescent="0.3">
      <c r="A1900">
        <v>3</v>
      </c>
      <c r="B1900">
        <v>1</v>
      </c>
      <c r="C1900">
        <v>1</v>
      </c>
      <c r="D1900">
        <v>1</v>
      </c>
      <c r="E1900" t="s">
        <v>14</v>
      </c>
      <c r="F1900">
        <v>0</v>
      </c>
      <c r="G1900">
        <v>2</v>
      </c>
      <c r="H1900">
        <v>1</v>
      </c>
    </row>
    <row r="1901" spans="1:8" x14ac:dyDescent="0.3">
      <c r="A1901">
        <v>3</v>
      </c>
      <c r="B1901">
        <v>0</v>
      </c>
      <c r="C1901">
        <v>2</v>
      </c>
      <c r="D1901">
        <v>1</v>
      </c>
      <c r="E1901" t="s">
        <v>14</v>
      </c>
      <c r="F1901">
        <v>0</v>
      </c>
      <c r="G1901">
        <v>2</v>
      </c>
      <c r="H1901">
        <v>1</v>
      </c>
    </row>
    <row r="1902" spans="1:8" x14ac:dyDescent="0.3">
      <c r="A1902">
        <v>3</v>
      </c>
      <c r="B1902">
        <v>1</v>
      </c>
      <c r="C1902">
        <v>1</v>
      </c>
      <c r="D1902">
        <v>1</v>
      </c>
      <c r="E1902" t="s">
        <v>14</v>
      </c>
      <c r="F1902">
        <v>2</v>
      </c>
      <c r="G1902">
        <v>1</v>
      </c>
      <c r="H1902">
        <v>0</v>
      </c>
    </row>
    <row r="1903" spans="1:8" x14ac:dyDescent="0.3">
      <c r="A1903">
        <v>3</v>
      </c>
      <c r="B1903">
        <v>1</v>
      </c>
      <c r="C1903">
        <v>1</v>
      </c>
      <c r="D1903">
        <v>1</v>
      </c>
      <c r="E1903" t="s">
        <v>14</v>
      </c>
      <c r="F1903">
        <v>0</v>
      </c>
      <c r="G1903">
        <v>2</v>
      </c>
      <c r="H1903">
        <v>1</v>
      </c>
    </row>
    <row r="1904" spans="1:8" x14ac:dyDescent="0.3">
      <c r="A1904">
        <v>3</v>
      </c>
      <c r="B1904">
        <v>2</v>
      </c>
      <c r="C1904">
        <v>1</v>
      </c>
      <c r="D1904">
        <v>0</v>
      </c>
      <c r="E1904" t="s">
        <v>14</v>
      </c>
      <c r="F1904">
        <v>0</v>
      </c>
      <c r="G1904">
        <v>2</v>
      </c>
      <c r="H1904">
        <v>1</v>
      </c>
    </row>
    <row r="1905" spans="1:8" x14ac:dyDescent="0.3">
      <c r="A1905">
        <v>3</v>
      </c>
      <c r="B1905">
        <v>1</v>
      </c>
      <c r="C1905">
        <v>1</v>
      </c>
      <c r="D1905">
        <v>1</v>
      </c>
      <c r="E1905" t="s">
        <v>14</v>
      </c>
      <c r="F1905">
        <v>1</v>
      </c>
      <c r="G1905">
        <v>0</v>
      </c>
      <c r="H1905">
        <v>2</v>
      </c>
    </row>
    <row r="1906" spans="1:8" x14ac:dyDescent="0.3">
      <c r="A1906">
        <v>3</v>
      </c>
      <c r="B1906">
        <v>1</v>
      </c>
      <c r="C1906">
        <v>1</v>
      </c>
      <c r="D1906">
        <v>1</v>
      </c>
      <c r="E1906" t="s">
        <v>14</v>
      </c>
      <c r="F1906">
        <v>1</v>
      </c>
      <c r="G1906">
        <v>1</v>
      </c>
      <c r="H1906">
        <v>1</v>
      </c>
    </row>
    <row r="1907" spans="1:8" x14ac:dyDescent="0.3">
      <c r="A1907">
        <v>3</v>
      </c>
      <c r="B1907">
        <v>1</v>
      </c>
      <c r="C1907">
        <v>1</v>
      </c>
      <c r="D1907">
        <v>1</v>
      </c>
      <c r="E1907" t="s">
        <v>14</v>
      </c>
      <c r="F1907">
        <v>1</v>
      </c>
      <c r="G1907">
        <v>1</v>
      </c>
      <c r="H1907">
        <v>1</v>
      </c>
    </row>
    <row r="1908" spans="1:8" x14ac:dyDescent="0.3">
      <c r="A1908">
        <v>3</v>
      </c>
      <c r="B1908">
        <v>1</v>
      </c>
      <c r="C1908">
        <v>1</v>
      </c>
      <c r="D1908">
        <v>1</v>
      </c>
      <c r="E1908" t="s">
        <v>14</v>
      </c>
      <c r="F1908">
        <v>2</v>
      </c>
      <c r="G1908">
        <v>1</v>
      </c>
      <c r="H1908">
        <v>0</v>
      </c>
    </row>
    <row r="1909" spans="1:8" x14ac:dyDescent="0.3">
      <c r="A1909">
        <v>3</v>
      </c>
      <c r="B1909">
        <v>1</v>
      </c>
      <c r="C1909">
        <v>1</v>
      </c>
      <c r="D1909">
        <v>1</v>
      </c>
      <c r="E1909" t="s">
        <v>14</v>
      </c>
      <c r="F1909">
        <v>1</v>
      </c>
      <c r="G1909">
        <v>0</v>
      </c>
      <c r="H1909">
        <v>2</v>
      </c>
    </row>
    <row r="1910" spans="1:8" x14ac:dyDescent="0.3">
      <c r="A1910">
        <v>3</v>
      </c>
      <c r="B1910">
        <v>2</v>
      </c>
      <c r="C1910">
        <v>1</v>
      </c>
      <c r="D1910">
        <v>0</v>
      </c>
      <c r="E1910" t="s">
        <v>14</v>
      </c>
      <c r="F1910">
        <v>2</v>
      </c>
      <c r="G1910">
        <v>1</v>
      </c>
      <c r="H1910">
        <v>0</v>
      </c>
    </row>
    <row r="1911" spans="1:8" x14ac:dyDescent="0.3">
      <c r="A1911">
        <v>3</v>
      </c>
      <c r="B1911">
        <v>1</v>
      </c>
      <c r="C1911">
        <v>1</v>
      </c>
      <c r="D1911">
        <v>1</v>
      </c>
      <c r="E1911" t="s">
        <v>14</v>
      </c>
      <c r="F1911">
        <v>1</v>
      </c>
      <c r="G1911">
        <v>1</v>
      </c>
      <c r="H1911">
        <v>1</v>
      </c>
    </row>
    <row r="1912" spans="1:8" x14ac:dyDescent="0.3">
      <c r="A1912">
        <v>3</v>
      </c>
      <c r="B1912">
        <v>1</v>
      </c>
      <c r="C1912">
        <v>1</v>
      </c>
      <c r="D1912">
        <v>1</v>
      </c>
      <c r="E1912" t="s">
        <v>14</v>
      </c>
      <c r="F1912">
        <v>0</v>
      </c>
      <c r="G1912">
        <v>2</v>
      </c>
      <c r="H1912">
        <v>1</v>
      </c>
    </row>
    <row r="1913" spans="1:8" x14ac:dyDescent="0.3">
      <c r="A1913">
        <v>3</v>
      </c>
      <c r="B1913">
        <v>1</v>
      </c>
      <c r="C1913">
        <v>1</v>
      </c>
      <c r="D1913">
        <v>1</v>
      </c>
      <c r="E1913" t="s">
        <v>14</v>
      </c>
      <c r="F1913">
        <v>1</v>
      </c>
      <c r="G1913">
        <v>1</v>
      </c>
      <c r="H1913">
        <v>1</v>
      </c>
    </row>
    <row r="1914" spans="1:8" x14ac:dyDescent="0.3">
      <c r="A1914">
        <v>3</v>
      </c>
      <c r="B1914">
        <v>1</v>
      </c>
      <c r="C1914">
        <v>1</v>
      </c>
      <c r="D1914">
        <v>1</v>
      </c>
      <c r="E1914" t="s">
        <v>14</v>
      </c>
      <c r="F1914">
        <v>1</v>
      </c>
      <c r="G1914">
        <v>1</v>
      </c>
      <c r="H1914">
        <v>1</v>
      </c>
    </row>
    <row r="1915" spans="1:8" x14ac:dyDescent="0.3">
      <c r="A1915">
        <v>3</v>
      </c>
      <c r="B1915">
        <v>1</v>
      </c>
      <c r="C1915">
        <v>1</v>
      </c>
      <c r="D1915">
        <v>1</v>
      </c>
      <c r="E1915" t="s">
        <v>14</v>
      </c>
      <c r="F1915">
        <v>1</v>
      </c>
      <c r="G1915">
        <v>1</v>
      </c>
      <c r="H1915">
        <v>1</v>
      </c>
    </row>
    <row r="1916" spans="1:8" x14ac:dyDescent="0.3">
      <c r="A1916">
        <v>3</v>
      </c>
      <c r="B1916">
        <v>1</v>
      </c>
      <c r="C1916">
        <v>0</v>
      </c>
      <c r="D1916">
        <v>2</v>
      </c>
      <c r="E1916" t="s">
        <v>14</v>
      </c>
      <c r="F1916">
        <v>0</v>
      </c>
      <c r="G1916">
        <v>2</v>
      </c>
      <c r="H1916">
        <v>1</v>
      </c>
    </row>
    <row r="1917" spans="1:8" x14ac:dyDescent="0.3">
      <c r="A1917">
        <v>3</v>
      </c>
      <c r="B1917">
        <v>1</v>
      </c>
      <c r="C1917">
        <v>1</v>
      </c>
      <c r="D1917">
        <v>1</v>
      </c>
      <c r="E1917" t="s">
        <v>14</v>
      </c>
      <c r="F1917">
        <v>2</v>
      </c>
      <c r="G1917">
        <v>1</v>
      </c>
      <c r="H1917">
        <v>0</v>
      </c>
    </row>
    <row r="1918" spans="1:8" x14ac:dyDescent="0.3">
      <c r="A1918">
        <v>3</v>
      </c>
      <c r="B1918">
        <v>1</v>
      </c>
      <c r="C1918">
        <v>1</v>
      </c>
      <c r="D1918">
        <v>1</v>
      </c>
      <c r="E1918" t="s">
        <v>14</v>
      </c>
      <c r="F1918">
        <v>1</v>
      </c>
      <c r="G1918">
        <v>0</v>
      </c>
      <c r="H1918">
        <v>2</v>
      </c>
    </row>
    <row r="1919" spans="1:8" x14ac:dyDescent="0.3">
      <c r="A1919">
        <v>3</v>
      </c>
      <c r="B1919">
        <v>1</v>
      </c>
      <c r="C1919">
        <v>1</v>
      </c>
      <c r="D1919">
        <v>1</v>
      </c>
      <c r="E1919" t="s">
        <v>14</v>
      </c>
      <c r="F1919">
        <v>0</v>
      </c>
      <c r="G1919">
        <v>2</v>
      </c>
      <c r="H1919">
        <v>1</v>
      </c>
    </row>
    <row r="1920" spans="1:8" x14ac:dyDescent="0.3">
      <c r="A1920">
        <v>3</v>
      </c>
      <c r="B1920">
        <v>1</v>
      </c>
      <c r="C1920">
        <v>0</v>
      </c>
      <c r="D1920">
        <v>2</v>
      </c>
      <c r="E1920" t="s">
        <v>14</v>
      </c>
      <c r="F1920">
        <v>0</v>
      </c>
      <c r="G1920">
        <v>2</v>
      </c>
      <c r="H1920">
        <v>1</v>
      </c>
    </row>
    <row r="1921" spans="1:8" x14ac:dyDescent="0.3">
      <c r="A1921">
        <v>3</v>
      </c>
      <c r="B1921">
        <v>1</v>
      </c>
      <c r="C1921">
        <v>1</v>
      </c>
      <c r="D1921">
        <v>1</v>
      </c>
      <c r="E1921" t="s">
        <v>14</v>
      </c>
      <c r="F1921">
        <v>1</v>
      </c>
      <c r="G1921">
        <v>1</v>
      </c>
      <c r="H1921">
        <v>1</v>
      </c>
    </row>
    <row r="1922" spans="1:8" x14ac:dyDescent="0.3">
      <c r="A1922">
        <v>3</v>
      </c>
      <c r="B1922">
        <v>1</v>
      </c>
      <c r="C1922">
        <v>1</v>
      </c>
      <c r="D1922">
        <v>1</v>
      </c>
      <c r="E1922" t="s">
        <v>14</v>
      </c>
      <c r="F1922">
        <v>1</v>
      </c>
      <c r="G1922">
        <v>1</v>
      </c>
      <c r="H1922">
        <v>1</v>
      </c>
    </row>
    <row r="1923" spans="1:8" x14ac:dyDescent="0.3">
      <c r="A1923">
        <v>3</v>
      </c>
      <c r="B1923">
        <v>0</v>
      </c>
      <c r="C1923">
        <v>2</v>
      </c>
      <c r="D1923">
        <v>1</v>
      </c>
      <c r="E1923" t="s">
        <v>14</v>
      </c>
      <c r="F1923">
        <v>2</v>
      </c>
      <c r="G1923">
        <v>1</v>
      </c>
      <c r="H1923">
        <v>0</v>
      </c>
    </row>
    <row r="1924" spans="1:8" x14ac:dyDescent="0.3">
      <c r="A1924">
        <v>3</v>
      </c>
      <c r="B1924">
        <v>1</v>
      </c>
      <c r="C1924">
        <v>1</v>
      </c>
      <c r="D1924">
        <v>1</v>
      </c>
      <c r="E1924" t="s">
        <v>14</v>
      </c>
      <c r="F1924">
        <v>1</v>
      </c>
      <c r="G1924">
        <v>1</v>
      </c>
      <c r="H1924">
        <v>1</v>
      </c>
    </row>
    <row r="1925" spans="1:8" x14ac:dyDescent="0.3">
      <c r="A1925">
        <v>3</v>
      </c>
      <c r="B1925">
        <v>2</v>
      </c>
      <c r="C1925">
        <v>1</v>
      </c>
      <c r="D1925">
        <v>0</v>
      </c>
      <c r="E1925" t="s">
        <v>14</v>
      </c>
      <c r="F1925">
        <v>2</v>
      </c>
      <c r="G1925">
        <v>1</v>
      </c>
      <c r="H1925">
        <v>0</v>
      </c>
    </row>
    <row r="1926" spans="1:8" x14ac:dyDescent="0.3">
      <c r="A1926">
        <v>3</v>
      </c>
      <c r="B1926">
        <v>1</v>
      </c>
      <c r="C1926">
        <v>1</v>
      </c>
      <c r="D1926">
        <v>1</v>
      </c>
      <c r="E1926" t="s">
        <v>14</v>
      </c>
      <c r="F1926">
        <v>1</v>
      </c>
      <c r="G1926">
        <v>0</v>
      </c>
      <c r="H1926">
        <v>2</v>
      </c>
    </row>
    <row r="1927" spans="1:8" x14ac:dyDescent="0.3">
      <c r="A1927">
        <v>3</v>
      </c>
      <c r="B1927">
        <v>1</v>
      </c>
      <c r="C1927">
        <v>1</v>
      </c>
      <c r="D1927">
        <v>1</v>
      </c>
      <c r="E1927" t="s">
        <v>14</v>
      </c>
      <c r="F1927">
        <v>1</v>
      </c>
      <c r="G1927">
        <v>1</v>
      </c>
      <c r="H1927">
        <v>1</v>
      </c>
    </row>
    <row r="1928" spans="1:8" x14ac:dyDescent="0.3">
      <c r="A1928">
        <v>3</v>
      </c>
      <c r="B1928">
        <v>1</v>
      </c>
      <c r="C1928">
        <v>1</v>
      </c>
      <c r="D1928">
        <v>1</v>
      </c>
      <c r="E1928" t="s">
        <v>14</v>
      </c>
      <c r="F1928">
        <v>0</v>
      </c>
      <c r="G1928">
        <v>2</v>
      </c>
      <c r="H1928">
        <v>1</v>
      </c>
    </row>
    <row r="1929" spans="1:8" x14ac:dyDescent="0.3">
      <c r="A1929">
        <v>3</v>
      </c>
      <c r="B1929">
        <v>1</v>
      </c>
      <c r="C1929">
        <v>1</v>
      </c>
      <c r="D1929">
        <v>1</v>
      </c>
      <c r="E1929" t="s">
        <v>14</v>
      </c>
      <c r="F1929">
        <v>2</v>
      </c>
      <c r="G1929">
        <v>1</v>
      </c>
      <c r="H1929">
        <v>0</v>
      </c>
    </row>
    <row r="1930" spans="1:8" x14ac:dyDescent="0.3">
      <c r="A1930">
        <v>3</v>
      </c>
      <c r="B1930">
        <v>0</v>
      </c>
      <c r="C1930">
        <v>2</v>
      </c>
      <c r="D1930">
        <v>1</v>
      </c>
      <c r="E1930" t="s">
        <v>14</v>
      </c>
      <c r="F1930">
        <v>0</v>
      </c>
      <c r="G1930">
        <v>2</v>
      </c>
      <c r="H1930">
        <v>1</v>
      </c>
    </row>
    <row r="1931" spans="1:8" x14ac:dyDescent="0.3">
      <c r="A1931">
        <v>3</v>
      </c>
      <c r="B1931">
        <v>1</v>
      </c>
      <c r="C1931">
        <v>1</v>
      </c>
      <c r="D1931">
        <v>1</v>
      </c>
      <c r="E1931" t="s">
        <v>14</v>
      </c>
      <c r="F1931">
        <v>2</v>
      </c>
      <c r="G1931">
        <v>1</v>
      </c>
      <c r="H1931">
        <v>0</v>
      </c>
    </row>
    <row r="1932" spans="1:8" x14ac:dyDescent="0.3">
      <c r="A1932">
        <v>3</v>
      </c>
      <c r="B1932">
        <v>1</v>
      </c>
      <c r="C1932">
        <v>1</v>
      </c>
      <c r="D1932">
        <v>1</v>
      </c>
      <c r="E1932" t="s">
        <v>14</v>
      </c>
      <c r="F1932">
        <v>1</v>
      </c>
      <c r="G1932">
        <v>1</v>
      </c>
      <c r="H1932">
        <v>1</v>
      </c>
    </row>
    <row r="1933" spans="1:8" x14ac:dyDescent="0.3">
      <c r="A1933">
        <v>3</v>
      </c>
      <c r="B1933">
        <v>1</v>
      </c>
      <c r="C1933">
        <v>1</v>
      </c>
      <c r="D1933">
        <v>1</v>
      </c>
      <c r="E1933" t="s">
        <v>14</v>
      </c>
      <c r="F1933">
        <v>0</v>
      </c>
      <c r="G1933">
        <v>2</v>
      </c>
      <c r="H1933">
        <v>1</v>
      </c>
    </row>
    <row r="1934" spans="1:8" x14ac:dyDescent="0.3">
      <c r="A1934">
        <v>3</v>
      </c>
      <c r="B1934">
        <v>1</v>
      </c>
      <c r="C1934">
        <v>0</v>
      </c>
      <c r="D1934">
        <v>2</v>
      </c>
      <c r="E1934" t="s">
        <v>14</v>
      </c>
      <c r="F1934">
        <v>1</v>
      </c>
      <c r="G1934">
        <v>0</v>
      </c>
      <c r="H1934">
        <v>2</v>
      </c>
    </row>
    <row r="1935" spans="1:8" x14ac:dyDescent="0.3">
      <c r="A1935">
        <v>3</v>
      </c>
      <c r="B1935">
        <v>1</v>
      </c>
      <c r="C1935">
        <v>1</v>
      </c>
      <c r="D1935">
        <v>1</v>
      </c>
      <c r="E1935" t="s">
        <v>14</v>
      </c>
      <c r="F1935">
        <v>1</v>
      </c>
      <c r="G1935">
        <v>1</v>
      </c>
      <c r="H1935">
        <v>1</v>
      </c>
    </row>
    <row r="1936" spans="1:8" x14ac:dyDescent="0.3">
      <c r="A1936">
        <v>3</v>
      </c>
      <c r="B1936">
        <v>1</v>
      </c>
      <c r="C1936">
        <v>1</v>
      </c>
      <c r="D1936">
        <v>1</v>
      </c>
      <c r="E1936" t="s">
        <v>14</v>
      </c>
      <c r="F1936">
        <v>1</v>
      </c>
      <c r="G1936">
        <v>0</v>
      </c>
      <c r="H1936">
        <v>2</v>
      </c>
    </row>
    <row r="1937" spans="1:8" x14ac:dyDescent="0.3">
      <c r="A1937">
        <v>3</v>
      </c>
      <c r="B1937">
        <v>1</v>
      </c>
      <c r="C1937">
        <v>1</v>
      </c>
      <c r="D1937">
        <v>1</v>
      </c>
      <c r="E1937" t="s">
        <v>14</v>
      </c>
      <c r="F1937">
        <v>1</v>
      </c>
      <c r="G1937">
        <v>1</v>
      </c>
      <c r="H1937">
        <v>1</v>
      </c>
    </row>
    <row r="1938" spans="1:8" x14ac:dyDescent="0.3">
      <c r="A1938">
        <v>3</v>
      </c>
      <c r="B1938">
        <v>1</v>
      </c>
      <c r="C1938">
        <v>1</v>
      </c>
      <c r="D1938">
        <v>1</v>
      </c>
      <c r="E1938" t="s">
        <v>14</v>
      </c>
      <c r="F1938">
        <v>1</v>
      </c>
      <c r="G1938">
        <v>1</v>
      </c>
      <c r="H1938">
        <v>1</v>
      </c>
    </row>
    <row r="1939" spans="1:8" x14ac:dyDescent="0.3">
      <c r="A1939">
        <v>3</v>
      </c>
      <c r="B1939">
        <v>1</v>
      </c>
      <c r="C1939">
        <v>1</v>
      </c>
      <c r="D1939">
        <v>1</v>
      </c>
      <c r="E1939" t="s">
        <v>14</v>
      </c>
      <c r="F1939">
        <v>2</v>
      </c>
      <c r="G1939">
        <v>1</v>
      </c>
      <c r="H1939">
        <v>0</v>
      </c>
    </row>
    <row r="1940" spans="1:8" x14ac:dyDescent="0.3">
      <c r="A1940">
        <v>3</v>
      </c>
      <c r="B1940">
        <v>1</v>
      </c>
      <c r="C1940">
        <v>1</v>
      </c>
      <c r="D1940">
        <v>1</v>
      </c>
      <c r="E1940" t="s">
        <v>14</v>
      </c>
      <c r="F1940">
        <v>1</v>
      </c>
      <c r="G1940">
        <v>1</v>
      </c>
      <c r="H1940">
        <v>1</v>
      </c>
    </row>
    <row r="1941" spans="1:8" x14ac:dyDescent="0.3">
      <c r="A1941">
        <v>3</v>
      </c>
      <c r="B1941">
        <v>1</v>
      </c>
      <c r="C1941">
        <v>1</v>
      </c>
      <c r="D1941">
        <v>1</v>
      </c>
      <c r="E1941" t="s">
        <v>14</v>
      </c>
      <c r="F1941">
        <v>2</v>
      </c>
      <c r="G1941">
        <v>1</v>
      </c>
      <c r="H1941">
        <v>0</v>
      </c>
    </row>
    <row r="1942" spans="1:8" x14ac:dyDescent="0.3">
      <c r="A1942">
        <v>4</v>
      </c>
      <c r="B1942">
        <v>1</v>
      </c>
      <c r="C1942">
        <v>1</v>
      </c>
      <c r="D1942">
        <v>2</v>
      </c>
      <c r="E1942" t="s">
        <v>14</v>
      </c>
      <c r="F1942">
        <v>1</v>
      </c>
      <c r="G1942">
        <v>1</v>
      </c>
      <c r="H1942">
        <v>2</v>
      </c>
    </row>
    <row r="1943" spans="1:8" x14ac:dyDescent="0.3">
      <c r="A1943">
        <v>4</v>
      </c>
      <c r="B1943">
        <v>1</v>
      </c>
      <c r="C1943">
        <v>1</v>
      </c>
      <c r="D1943">
        <v>2</v>
      </c>
      <c r="E1943" t="s">
        <v>14</v>
      </c>
      <c r="F1943">
        <v>0</v>
      </c>
      <c r="G1943">
        <v>2</v>
      </c>
      <c r="H1943">
        <v>2</v>
      </c>
    </row>
    <row r="1944" spans="1:8" x14ac:dyDescent="0.3">
      <c r="A1944">
        <v>4</v>
      </c>
      <c r="B1944">
        <v>2</v>
      </c>
      <c r="C1944">
        <v>1</v>
      </c>
      <c r="D1944">
        <v>1</v>
      </c>
      <c r="E1944" t="s">
        <v>14</v>
      </c>
      <c r="F1944">
        <v>2</v>
      </c>
      <c r="G1944">
        <v>1</v>
      </c>
      <c r="H1944">
        <v>1</v>
      </c>
    </row>
    <row r="1945" spans="1:8" x14ac:dyDescent="0.3">
      <c r="A1945">
        <v>4</v>
      </c>
      <c r="B1945">
        <v>1</v>
      </c>
      <c r="C1945">
        <v>1</v>
      </c>
      <c r="D1945">
        <v>2</v>
      </c>
      <c r="E1945" t="s">
        <v>14</v>
      </c>
      <c r="F1945">
        <v>1</v>
      </c>
      <c r="G1945">
        <v>1</v>
      </c>
      <c r="H1945">
        <v>2</v>
      </c>
    </row>
    <row r="1946" spans="1:8" x14ac:dyDescent="0.3">
      <c r="A1946">
        <v>4</v>
      </c>
      <c r="B1946">
        <v>2</v>
      </c>
      <c r="C1946">
        <v>1</v>
      </c>
      <c r="D1946">
        <v>1</v>
      </c>
      <c r="E1946" t="s">
        <v>14</v>
      </c>
      <c r="F1946">
        <v>2</v>
      </c>
      <c r="G1946">
        <v>0</v>
      </c>
      <c r="H1946">
        <v>2</v>
      </c>
    </row>
    <row r="1947" spans="1:8" x14ac:dyDescent="0.3">
      <c r="A1947">
        <v>4</v>
      </c>
      <c r="B1947">
        <v>1</v>
      </c>
      <c r="C1947">
        <v>2</v>
      </c>
      <c r="D1947">
        <v>1</v>
      </c>
      <c r="E1947" t="s">
        <v>14</v>
      </c>
      <c r="F1947">
        <v>1</v>
      </c>
      <c r="G1947">
        <v>2</v>
      </c>
      <c r="H1947">
        <v>1</v>
      </c>
    </row>
    <row r="1948" spans="1:8" x14ac:dyDescent="0.3">
      <c r="A1948">
        <v>4</v>
      </c>
      <c r="B1948">
        <v>2</v>
      </c>
      <c r="C1948">
        <v>1</v>
      </c>
      <c r="D1948">
        <v>1</v>
      </c>
      <c r="E1948" t="s">
        <v>14</v>
      </c>
      <c r="F1948">
        <v>2</v>
      </c>
      <c r="G1948">
        <v>1</v>
      </c>
      <c r="H1948">
        <v>1</v>
      </c>
    </row>
    <row r="1949" spans="1:8" x14ac:dyDescent="0.3">
      <c r="A1949">
        <v>5</v>
      </c>
      <c r="B1949">
        <v>2</v>
      </c>
      <c r="C1949">
        <v>2</v>
      </c>
      <c r="D1949">
        <v>1</v>
      </c>
      <c r="E1949" t="s">
        <v>14</v>
      </c>
      <c r="F1949">
        <v>0</v>
      </c>
      <c r="G1949">
        <v>2</v>
      </c>
      <c r="H1949">
        <v>3</v>
      </c>
    </row>
    <row r="1950" spans="1:8" x14ac:dyDescent="0.3">
      <c r="A1950">
        <v>5</v>
      </c>
      <c r="B1950">
        <v>2</v>
      </c>
      <c r="C1950">
        <v>1</v>
      </c>
      <c r="D1950">
        <v>2</v>
      </c>
      <c r="E1950" t="s">
        <v>14</v>
      </c>
      <c r="F1950">
        <v>3</v>
      </c>
      <c r="G1950">
        <v>0</v>
      </c>
      <c r="H1950">
        <v>2</v>
      </c>
    </row>
    <row r="1951" spans="1:8" x14ac:dyDescent="0.3">
      <c r="A1951">
        <v>5</v>
      </c>
      <c r="B1951">
        <v>1</v>
      </c>
      <c r="C1951">
        <v>2</v>
      </c>
      <c r="D1951">
        <v>2</v>
      </c>
      <c r="E1951" t="s">
        <v>14</v>
      </c>
      <c r="F1951">
        <v>2</v>
      </c>
      <c r="G1951">
        <v>3</v>
      </c>
      <c r="H1951">
        <v>0</v>
      </c>
    </row>
    <row r="1952" spans="1:8" x14ac:dyDescent="0.3">
      <c r="A1952">
        <v>5</v>
      </c>
      <c r="B1952">
        <v>2</v>
      </c>
      <c r="C1952">
        <v>2</v>
      </c>
      <c r="D1952">
        <v>1</v>
      </c>
      <c r="E1952" t="s">
        <v>14</v>
      </c>
      <c r="F1952">
        <v>2</v>
      </c>
      <c r="G1952">
        <v>2</v>
      </c>
      <c r="H1952">
        <v>1</v>
      </c>
    </row>
    <row r="1953" spans="1:8" x14ac:dyDescent="0.3">
      <c r="A1953">
        <v>6</v>
      </c>
      <c r="B1953">
        <v>1</v>
      </c>
      <c r="C1953">
        <v>2</v>
      </c>
      <c r="D1953">
        <v>3</v>
      </c>
      <c r="E1953" t="s">
        <v>14</v>
      </c>
      <c r="F1953">
        <v>1</v>
      </c>
      <c r="G1953">
        <v>2</v>
      </c>
      <c r="H1953">
        <v>3</v>
      </c>
    </row>
    <row r="1954" spans="1:8" x14ac:dyDescent="0.3">
      <c r="A1954">
        <v>6</v>
      </c>
      <c r="B1954">
        <v>2</v>
      </c>
      <c r="C1954">
        <v>2</v>
      </c>
      <c r="D1954">
        <v>2</v>
      </c>
      <c r="E1954" t="s">
        <v>14</v>
      </c>
      <c r="F1954">
        <v>2</v>
      </c>
      <c r="G1954">
        <v>2</v>
      </c>
      <c r="H1954">
        <v>2</v>
      </c>
    </row>
    <row r="1955" spans="1:8" x14ac:dyDescent="0.3">
      <c r="A1955">
        <v>6</v>
      </c>
      <c r="B1955">
        <v>2</v>
      </c>
      <c r="C1955">
        <v>3</v>
      </c>
      <c r="D1955">
        <v>1</v>
      </c>
      <c r="E1955" t="s">
        <v>14</v>
      </c>
      <c r="F1955">
        <v>2</v>
      </c>
      <c r="G1955">
        <v>3</v>
      </c>
      <c r="H1955">
        <v>1</v>
      </c>
    </row>
    <row r="1956" spans="1:8" x14ac:dyDescent="0.3">
      <c r="A1956">
        <v>6</v>
      </c>
      <c r="B1956">
        <v>1</v>
      </c>
      <c r="C1956">
        <v>2</v>
      </c>
      <c r="D1956">
        <v>3</v>
      </c>
      <c r="E1956" t="s">
        <v>14</v>
      </c>
      <c r="F1956">
        <v>1</v>
      </c>
      <c r="G1956">
        <v>2</v>
      </c>
      <c r="H1956">
        <v>3</v>
      </c>
    </row>
    <row r="1957" spans="1:8" x14ac:dyDescent="0.3">
      <c r="A1957">
        <v>6</v>
      </c>
      <c r="B1957">
        <v>1</v>
      </c>
      <c r="C1957">
        <v>2</v>
      </c>
      <c r="D1957">
        <v>3</v>
      </c>
      <c r="E1957" t="s">
        <v>14</v>
      </c>
      <c r="F1957">
        <v>1</v>
      </c>
      <c r="G1957">
        <v>2</v>
      </c>
      <c r="H1957">
        <v>3</v>
      </c>
    </row>
    <row r="1958" spans="1:8" x14ac:dyDescent="0.3">
      <c r="A1958">
        <v>7</v>
      </c>
      <c r="B1958">
        <v>2</v>
      </c>
      <c r="C1958">
        <v>2</v>
      </c>
      <c r="D1958">
        <v>3</v>
      </c>
      <c r="E1958" t="s">
        <v>14</v>
      </c>
      <c r="F1958">
        <v>2</v>
      </c>
      <c r="G1958">
        <v>2</v>
      </c>
      <c r="H1958">
        <v>3</v>
      </c>
    </row>
    <row r="1959" spans="1:8" x14ac:dyDescent="0.3">
      <c r="A1959">
        <v>7</v>
      </c>
      <c r="B1959">
        <v>2</v>
      </c>
      <c r="C1959">
        <v>2</v>
      </c>
      <c r="D1959">
        <v>3</v>
      </c>
      <c r="E1959" t="s">
        <v>14</v>
      </c>
      <c r="F1959">
        <v>2</v>
      </c>
      <c r="G1959">
        <v>2</v>
      </c>
      <c r="H1959">
        <v>3</v>
      </c>
    </row>
    <row r="1960" spans="1:8" x14ac:dyDescent="0.3">
      <c r="A1960">
        <v>7</v>
      </c>
      <c r="B1960">
        <v>2</v>
      </c>
      <c r="C1960">
        <v>2</v>
      </c>
      <c r="D1960">
        <v>3</v>
      </c>
      <c r="E1960" t="s">
        <v>14</v>
      </c>
      <c r="F1960">
        <v>2</v>
      </c>
      <c r="G1960">
        <v>2</v>
      </c>
      <c r="H1960">
        <v>3</v>
      </c>
    </row>
    <row r="1961" spans="1:8" x14ac:dyDescent="0.3">
      <c r="A1961">
        <v>2</v>
      </c>
      <c r="B1961">
        <v>1</v>
      </c>
      <c r="C1961">
        <v>0</v>
      </c>
      <c r="D1961">
        <v>1</v>
      </c>
      <c r="E1961" t="s">
        <v>14</v>
      </c>
      <c r="F1961">
        <v>1</v>
      </c>
      <c r="G1961">
        <v>0</v>
      </c>
      <c r="H1961">
        <v>1</v>
      </c>
    </row>
    <row r="1962" spans="1:8" x14ac:dyDescent="0.3">
      <c r="A1962">
        <v>2</v>
      </c>
      <c r="B1962">
        <v>0</v>
      </c>
      <c r="C1962">
        <v>1</v>
      </c>
      <c r="D1962">
        <v>1</v>
      </c>
      <c r="E1962" t="s">
        <v>14</v>
      </c>
      <c r="F1962">
        <v>2</v>
      </c>
      <c r="G1962">
        <v>0</v>
      </c>
      <c r="H1962">
        <v>0</v>
      </c>
    </row>
    <row r="1963" spans="1:8" x14ac:dyDescent="0.3">
      <c r="A1963">
        <v>3</v>
      </c>
      <c r="B1963">
        <v>1</v>
      </c>
      <c r="C1963">
        <v>1</v>
      </c>
      <c r="D1963">
        <v>1</v>
      </c>
      <c r="E1963" t="s">
        <v>14</v>
      </c>
      <c r="F1963">
        <v>1</v>
      </c>
      <c r="G1963">
        <v>1</v>
      </c>
      <c r="H1963">
        <v>1</v>
      </c>
    </row>
    <row r="1964" spans="1:8" x14ac:dyDescent="0.3">
      <c r="A1964">
        <v>3</v>
      </c>
      <c r="B1964">
        <v>1</v>
      </c>
      <c r="C1964">
        <v>1</v>
      </c>
      <c r="D1964">
        <v>1</v>
      </c>
      <c r="E1964" t="s">
        <v>14</v>
      </c>
      <c r="F1964">
        <v>2</v>
      </c>
      <c r="G1964">
        <v>1</v>
      </c>
      <c r="H1964">
        <v>0</v>
      </c>
    </row>
    <row r="1965" spans="1:8" x14ac:dyDescent="0.3">
      <c r="A1965">
        <v>3</v>
      </c>
      <c r="B1965">
        <v>1</v>
      </c>
      <c r="C1965">
        <v>1</v>
      </c>
      <c r="D1965">
        <v>1</v>
      </c>
      <c r="E1965" t="s">
        <v>14</v>
      </c>
      <c r="F1965">
        <v>1</v>
      </c>
      <c r="G1965">
        <v>1</v>
      </c>
      <c r="H1965">
        <v>1</v>
      </c>
    </row>
    <row r="1966" spans="1:8" x14ac:dyDescent="0.3">
      <c r="A1966">
        <v>3</v>
      </c>
      <c r="B1966">
        <v>1</v>
      </c>
      <c r="C1966">
        <v>1</v>
      </c>
      <c r="D1966">
        <v>1</v>
      </c>
      <c r="E1966" t="s">
        <v>14</v>
      </c>
      <c r="F1966">
        <v>1</v>
      </c>
      <c r="G1966">
        <v>0</v>
      </c>
      <c r="H1966">
        <v>2</v>
      </c>
    </row>
    <row r="1967" spans="1:8" x14ac:dyDescent="0.3">
      <c r="A1967">
        <v>3</v>
      </c>
      <c r="B1967">
        <v>1</v>
      </c>
      <c r="C1967">
        <v>1</v>
      </c>
      <c r="D1967">
        <v>1</v>
      </c>
      <c r="E1967" t="s">
        <v>14</v>
      </c>
      <c r="F1967">
        <v>1</v>
      </c>
      <c r="G1967">
        <v>0</v>
      </c>
      <c r="H1967">
        <v>2</v>
      </c>
    </row>
    <row r="1968" spans="1:8" x14ac:dyDescent="0.3">
      <c r="A1968">
        <v>3</v>
      </c>
      <c r="B1968">
        <v>2</v>
      </c>
      <c r="C1968">
        <v>1</v>
      </c>
      <c r="D1968">
        <v>0</v>
      </c>
      <c r="E1968" t="s">
        <v>14</v>
      </c>
      <c r="F1968">
        <v>2</v>
      </c>
      <c r="G1968">
        <v>1</v>
      </c>
      <c r="H1968">
        <v>0</v>
      </c>
    </row>
    <row r="1969" spans="1:8" x14ac:dyDescent="0.3">
      <c r="A1969">
        <v>3</v>
      </c>
      <c r="B1969">
        <v>1</v>
      </c>
      <c r="C1969">
        <v>0</v>
      </c>
      <c r="D1969">
        <v>2</v>
      </c>
      <c r="E1969" t="s">
        <v>14</v>
      </c>
      <c r="F1969">
        <v>0</v>
      </c>
      <c r="G1969">
        <v>2</v>
      </c>
      <c r="H1969">
        <v>1</v>
      </c>
    </row>
    <row r="1970" spans="1:8" x14ac:dyDescent="0.3">
      <c r="A1970">
        <v>3</v>
      </c>
      <c r="B1970">
        <v>1</v>
      </c>
      <c r="C1970">
        <v>1</v>
      </c>
      <c r="D1970">
        <v>1</v>
      </c>
      <c r="E1970" t="s">
        <v>14</v>
      </c>
      <c r="F1970">
        <v>2</v>
      </c>
      <c r="G1970">
        <v>1</v>
      </c>
      <c r="H1970">
        <v>0</v>
      </c>
    </row>
    <row r="1971" spans="1:8" x14ac:dyDescent="0.3">
      <c r="A1971">
        <v>3</v>
      </c>
      <c r="B1971">
        <v>0</v>
      </c>
      <c r="C1971">
        <v>2</v>
      </c>
      <c r="D1971">
        <v>1</v>
      </c>
      <c r="E1971" t="s">
        <v>14</v>
      </c>
      <c r="F1971">
        <v>2</v>
      </c>
      <c r="G1971">
        <v>1</v>
      </c>
      <c r="H1971">
        <v>0</v>
      </c>
    </row>
    <row r="1972" spans="1:8" x14ac:dyDescent="0.3">
      <c r="A1972">
        <v>3</v>
      </c>
      <c r="B1972">
        <v>1</v>
      </c>
      <c r="C1972">
        <v>1</v>
      </c>
      <c r="D1972">
        <v>1</v>
      </c>
      <c r="E1972" t="s">
        <v>14</v>
      </c>
      <c r="F1972">
        <v>1</v>
      </c>
      <c r="G1972">
        <v>1</v>
      </c>
      <c r="H1972">
        <v>1</v>
      </c>
    </row>
    <row r="1973" spans="1:8" x14ac:dyDescent="0.3">
      <c r="A1973">
        <v>3</v>
      </c>
      <c r="B1973">
        <v>0</v>
      </c>
      <c r="C1973">
        <v>2</v>
      </c>
      <c r="D1973">
        <v>1</v>
      </c>
      <c r="E1973" t="s">
        <v>14</v>
      </c>
      <c r="F1973">
        <v>0</v>
      </c>
      <c r="G1973">
        <v>2</v>
      </c>
      <c r="H1973">
        <v>1</v>
      </c>
    </row>
    <row r="1974" spans="1:8" x14ac:dyDescent="0.3">
      <c r="A1974">
        <v>3</v>
      </c>
      <c r="B1974">
        <v>1</v>
      </c>
      <c r="C1974">
        <v>1</v>
      </c>
      <c r="D1974">
        <v>1</v>
      </c>
      <c r="E1974" t="s">
        <v>14</v>
      </c>
      <c r="F1974">
        <v>2</v>
      </c>
      <c r="G1974">
        <v>1</v>
      </c>
      <c r="H1974">
        <v>0</v>
      </c>
    </row>
    <row r="1975" spans="1:8" x14ac:dyDescent="0.3">
      <c r="A1975">
        <v>3</v>
      </c>
      <c r="B1975">
        <v>1</v>
      </c>
      <c r="C1975">
        <v>1</v>
      </c>
      <c r="D1975">
        <v>1</v>
      </c>
      <c r="E1975" t="s">
        <v>14</v>
      </c>
      <c r="F1975">
        <v>1</v>
      </c>
      <c r="G1975">
        <v>1</v>
      </c>
      <c r="H1975">
        <v>1</v>
      </c>
    </row>
    <row r="1976" spans="1:8" x14ac:dyDescent="0.3">
      <c r="A1976">
        <v>3</v>
      </c>
      <c r="B1976">
        <v>1</v>
      </c>
      <c r="C1976">
        <v>0</v>
      </c>
      <c r="D1976">
        <v>2</v>
      </c>
      <c r="E1976" t="s">
        <v>14</v>
      </c>
      <c r="F1976">
        <v>1</v>
      </c>
      <c r="G1976">
        <v>0</v>
      </c>
      <c r="H1976">
        <v>2</v>
      </c>
    </row>
    <row r="1977" spans="1:8" x14ac:dyDescent="0.3">
      <c r="A1977">
        <v>3</v>
      </c>
      <c r="B1977">
        <v>1</v>
      </c>
      <c r="C1977">
        <v>1</v>
      </c>
      <c r="D1977">
        <v>1</v>
      </c>
      <c r="E1977" t="s">
        <v>14</v>
      </c>
      <c r="F1977">
        <v>1</v>
      </c>
      <c r="G1977">
        <v>1</v>
      </c>
      <c r="H1977">
        <v>1</v>
      </c>
    </row>
    <row r="1978" spans="1:8" x14ac:dyDescent="0.3">
      <c r="A1978">
        <v>3</v>
      </c>
      <c r="B1978">
        <v>1</v>
      </c>
      <c r="C1978">
        <v>1</v>
      </c>
      <c r="D1978">
        <v>1</v>
      </c>
      <c r="E1978" t="s">
        <v>14</v>
      </c>
      <c r="F1978">
        <v>1</v>
      </c>
      <c r="G1978">
        <v>1</v>
      </c>
      <c r="H1978">
        <v>1</v>
      </c>
    </row>
    <row r="1979" spans="1:8" x14ac:dyDescent="0.3">
      <c r="A1979">
        <v>3</v>
      </c>
      <c r="B1979">
        <v>1</v>
      </c>
      <c r="C1979">
        <v>1</v>
      </c>
      <c r="D1979">
        <v>1</v>
      </c>
      <c r="E1979" t="s">
        <v>14</v>
      </c>
      <c r="F1979">
        <v>0</v>
      </c>
      <c r="G1979">
        <v>2</v>
      </c>
      <c r="H1979">
        <v>1</v>
      </c>
    </row>
    <row r="1980" spans="1:8" x14ac:dyDescent="0.3">
      <c r="A1980">
        <v>3</v>
      </c>
      <c r="B1980">
        <v>1</v>
      </c>
      <c r="C1980">
        <v>1</v>
      </c>
      <c r="D1980">
        <v>1</v>
      </c>
      <c r="E1980" t="s">
        <v>14</v>
      </c>
      <c r="F1980">
        <v>1</v>
      </c>
      <c r="G1980">
        <v>1</v>
      </c>
      <c r="H1980">
        <v>1</v>
      </c>
    </row>
    <row r="1981" spans="1:8" x14ac:dyDescent="0.3">
      <c r="A1981">
        <v>3</v>
      </c>
      <c r="B1981">
        <v>1</v>
      </c>
      <c r="C1981">
        <v>0</v>
      </c>
      <c r="D1981">
        <v>2</v>
      </c>
      <c r="E1981" t="s">
        <v>14</v>
      </c>
      <c r="F1981">
        <v>1</v>
      </c>
      <c r="G1981">
        <v>0</v>
      </c>
      <c r="H1981">
        <v>2</v>
      </c>
    </row>
    <row r="1982" spans="1:8" x14ac:dyDescent="0.3">
      <c r="A1982">
        <v>3</v>
      </c>
      <c r="B1982">
        <v>1</v>
      </c>
      <c r="C1982">
        <v>1</v>
      </c>
      <c r="D1982">
        <v>1</v>
      </c>
      <c r="E1982" t="s">
        <v>14</v>
      </c>
      <c r="F1982">
        <v>1</v>
      </c>
      <c r="G1982">
        <v>1</v>
      </c>
      <c r="H1982">
        <v>1</v>
      </c>
    </row>
    <row r="1983" spans="1:8" x14ac:dyDescent="0.3">
      <c r="A1983">
        <v>3</v>
      </c>
      <c r="B1983">
        <v>1</v>
      </c>
      <c r="C1983">
        <v>1</v>
      </c>
      <c r="D1983">
        <v>1</v>
      </c>
      <c r="E1983" t="s">
        <v>14</v>
      </c>
      <c r="F1983">
        <v>0</v>
      </c>
      <c r="G1983">
        <v>2</v>
      </c>
      <c r="H1983">
        <v>1</v>
      </c>
    </row>
    <row r="1984" spans="1:8" x14ac:dyDescent="0.3">
      <c r="A1984">
        <v>3</v>
      </c>
      <c r="B1984">
        <v>1</v>
      </c>
      <c r="C1984">
        <v>1</v>
      </c>
      <c r="D1984">
        <v>1</v>
      </c>
      <c r="E1984" t="s">
        <v>14</v>
      </c>
      <c r="F1984">
        <v>0</v>
      </c>
      <c r="G1984">
        <v>2</v>
      </c>
      <c r="H1984">
        <v>1</v>
      </c>
    </row>
    <row r="1985" spans="1:8" x14ac:dyDescent="0.3">
      <c r="A1985">
        <v>3</v>
      </c>
      <c r="B1985">
        <v>1</v>
      </c>
      <c r="C1985">
        <v>1</v>
      </c>
      <c r="D1985">
        <v>1</v>
      </c>
      <c r="E1985" t="s">
        <v>14</v>
      </c>
      <c r="F1985">
        <v>1</v>
      </c>
      <c r="G1985">
        <v>1</v>
      </c>
      <c r="H1985">
        <v>1</v>
      </c>
    </row>
    <row r="1986" spans="1:8" x14ac:dyDescent="0.3">
      <c r="A1986">
        <v>3</v>
      </c>
      <c r="B1986">
        <v>2</v>
      </c>
      <c r="C1986">
        <v>1</v>
      </c>
      <c r="D1986">
        <v>0</v>
      </c>
      <c r="E1986" t="s">
        <v>14</v>
      </c>
      <c r="F1986">
        <v>1</v>
      </c>
      <c r="G1986">
        <v>0</v>
      </c>
      <c r="H1986">
        <v>2</v>
      </c>
    </row>
    <row r="1987" spans="1:8" x14ac:dyDescent="0.3">
      <c r="A1987">
        <v>3</v>
      </c>
      <c r="B1987">
        <v>0</v>
      </c>
      <c r="C1987">
        <v>2</v>
      </c>
      <c r="D1987">
        <v>1</v>
      </c>
      <c r="E1987" t="s">
        <v>14</v>
      </c>
      <c r="F1987">
        <v>0</v>
      </c>
      <c r="G1987">
        <v>2</v>
      </c>
      <c r="H1987">
        <v>1</v>
      </c>
    </row>
    <row r="1988" spans="1:8" x14ac:dyDescent="0.3">
      <c r="A1988">
        <v>3</v>
      </c>
      <c r="B1988">
        <v>1</v>
      </c>
      <c r="C1988">
        <v>1</v>
      </c>
      <c r="D1988">
        <v>1</v>
      </c>
      <c r="E1988" t="s">
        <v>14</v>
      </c>
      <c r="F1988">
        <v>1</v>
      </c>
      <c r="G1988">
        <v>0</v>
      </c>
      <c r="H1988">
        <v>2</v>
      </c>
    </row>
    <row r="1989" spans="1:8" x14ac:dyDescent="0.3">
      <c r="A1989">
        <v>3</v>
      </c>
      <c r="B1989">
        <v>1</v>
      </c>
      <c r="C1989">
        <v>1</v>
      </c>
      <c r="D1989">
        <v>1</v>
      </c>
      <c r="E1989" t="s">
        <v>14</v>
      </c>
      <c r="F1989">
        <v>2</v>
      </c>
      <c r="G1989">
        <v>1</v>
      </c>
      <c r="H1989">
        <v>0</v>
      </c>
    </row>
    <row r="1990" spans="1:8" x14ac:dyDescent="0.3">
      <c r="A1990">
        <v>3</v>
      </c>
      <c r="B1990">
        <v>1</v>
      </c>
      <c r="C1990">
        <v>1</v>
      </c>
      <c r="D1990">
        <v>1</v>
      </c>
      <c r="E1990" t="s">
        <v>14</v>
      </c>
      <c r="F1990">
        <v>2</v>
      </c>
      <c r="G1990">
        <v>1</v>
      </c>
      <c r="H1990">
        <v>0</v>
      </c>
    </row>
    <row r="1991" spans="1:8" x14ac:dyDescent="0.3">
      <c r="A1991">
        <v>3</v>
      </c>
      <c r="B1991">
        <v>1</v>
      </c>
      <c r="C1991">
        <v>1</v>
      </c>
      <c r="D1991">
        <v>1</v>
      </c>
      <c r="E1991" t="s">
        <v>14</v>
      </c>
      <c r="F1991">
        <v>0</v>
      </c>
      <c r="G1991">
        <v>2</v>
      </c>
      <c r="H1991">
        <v>1</v>
      </c>
    </row>
    <row r="1992" spans="1:8" x14ac:dyDescent="0.3">
      <c r="A1992">
        <v>3</v>
      </c>
      <c r="B1992">
        <v>1</v>
      </c>
      <c r="C1992">
        <v>1</v>
      </c>
      <c r="D1992">
        <v>1</v>
      </c>
      <c r="E1992" t="s">
        <v>14</v>
      </c>
      <c r="F1992">
        <v>2</v>
      </c>
      <c r="G1992">
        <v>1</v>
      </c>
      <c r="H1992">
        <v>0</v>
      </c>
    </row>
    <row r="1993" spans="1:8" x14ac:dyDescent="0.3">
      <c r="A1993">
        <v>3</v>
      </c>
      <c r="B1993">
        <v>2</v>
      </c>
      <c r="C1993">
        <v>1</v>
      </c>
      <c r="D1993">
        <v>0</v>
      </c>
      <c r="E1993" t="s">
        <v>14</v>
      </c>
      <c r="F1993">
        <v>2</v>
      </c>
      <c r="G1993">
        <v>1</v>
      </c>
      <c r="H1993">
        <v>0</v>
      </c>
    </row>
    <row r="1994" spans="1:8" x14ac:dyDescent="0.3">
      <c r="A1994">
        <v>3</v>
      </c>
      <c r="B1994">
        <v>1</v>
      </c>
      <c r="C1994">
        <v>0</v>
      </c>
      <c r="D1994">
        <v>2</v>
      </c>
      <c r="E1994" t="s">
        <v>14</v>
      </c>
      <c r="F1994">
        <v>0</v>
      </c>
      <c r="G1994">
        <v>2</v>
      </c>
      <c r="H1994">
        <v>1</v>
      </c>
    </row>
    <row r="1995" spans="1:8" x14ac:dyDescent="0.3">
      <c r="A1995">
        <v>3</v>
      </c>
      <c r="B1995">
        <v>1</v>
      </c>
      <c r="C1995">
        <v>0</v>
      </c>
      <c r="D1995">
        <v>2</v>
      </c>
      <c r="E1995" t="s">
        <v>14</v>
      </c>
      <c r="F1995">
        <v>1</v>
      </c>
      <c r="G1995">
        <v>0</v>
      </c>
      <c r="H1995">
        <v>2</v>
      </c>
    </row>
    <row r="1996" spans="1:8" x14ac:dyDescent="0.3">
      <c r="A1996">
        <v>3</v>
      </c>
      <c r="B1996">
        <v>1</v>
      </c>
      <c r="C1996">
        <v>1</v>
      </c>
      <c r="D1996">
        <v>1</v>
      </c>
      <c r="E1996" t="s">
        <v>14</v>
      </c>
      <c r="F1996">
        <v>1</v>
      </c>
      <c r="G1996">
        <v>1</v>
      </c>
      <c r="H1996">
        <v>1</v>
      </c>
    </row>
    <row r="1997" spans="1:8" x14ac:dyDescent="0.3">
      <c r="A1997">
        <v>3</v>
      </c>
      <c r="B1997">
        <v>1</v>
      </c>
      <c r="C1997">
        <v>1</v>
      </c>
      <c r="D1997">
        <v>1</v>
      </c>
      <c r="E1997" t="s">
        <v>14</v>
      </c>
      <c r="F1997">
        <v>1</v>
      </c>
      <c r="G1997">
        <v>1</v>
      </c>
      <c r="H1997">
        <v>1</v>
      </c>
    </row>
    <row r="1998" spans="1:8" x14ac:dyDescent="0.3">
      <c r="A1998">
        <v>3</v>
      </c>
      <c r="B1998">
        <v>2</v>
      </c>
      <c r="C1998">
        <v>1</v>
      </c>
      <c r="D1998">
        <v>0</v>
      </c>
      <c r="E1998" t="s">
        <v>14</v>
      </c>
      <c r="F1998">
        <v>1</v>
      </c>
      <c r="G1998">
        <v>0</v>
      </c>
      <c r="H1998">
        <v>2</v>
      </c>
    </row>
    <row r="1999" spans="1:8" x14ac:dyDescent="0.3">
      <c r="A1999">
        <v>3</v>
      </c>
      <c r="B1999">
        <v>1</v>
      </c>
      <c r="C1999">
        <v>1</v>
      </c>
      <c r="D1999">
        <v>1</v>
      </c>
      <c r="E1999" t="s">
        <v>14</v>
      </c>
      <c r="F1999">
        <v>2</v>
      </c>
      <c r="G1999">
        <v>1</v>
      </c>
      <c r="H1999">
        <v>0</v>
      </c>
    </row>
    <row r="2000" spans="1:8" x14ac:dyDescent="0.3">
      <c r="A2000">
        <v>3</v>
      </c>
      <c r="B2000">
        <v>1</v>
      </c>
      <c r="C2000">
        <v>1</v>
      </c>
      <c r="D2000">
        <v>1</v>
      </c>
      <c r="E2000" t="s">
        <v>14</v>
      </c>
      <c r="F2000">
        <v>0</v>
      </c>
      <c r="G2000">
        <v>2</v>
      </c>
      <c r="H2000">
        <v>1</v>
      </c>
    </row>
    <row r="2001" spans="1:8" x14ac:dyDescent="0.3">
      <c r="A2001">
        <v>3</v>
      </c>
      <c r="B2001">
        <v>2</v>
      </c>
      <c r="C2001">
        <v>1</v>
      </c>
      <c r="D2001">
        <v>0</v>
      </c>
      <c r="E2001" t="s">
        <v>14</v>
      </c>
      <c r="F2001">
        <v>2</v>
      </c>
      <c r="G2001">
        <v>1</v>
      </c>
      <c r="H2001">
        <v>0</v>
      </c>
    </row>
    <row r="2002" spans="1:8" x14ac:dyDescent="0.3">
      <c r="A2002">
        <v>3</v>
      </c>
      <c r="B2002">
        <v>1</v>
      </c>
      <c r="C2002">
        <v>1</v>
      </c>
      <c r="D2002">
        <v>1</v>
      </c>
      <c r="E2002" t="s">
        <v>14</v>
      </c>
      <c r="F2002">
        <v>1</v>
      </c>
      <c r="G2002">
        <v>1</v>
      </c>
      <c r="H2002">
        <v>1</v>
      </c>
    </row>
    <row r="2003" spans="1:8" x14ac:dyDescent="0.3">
      <c r="A2003">
        <v>3</v>
      </c>
      <c r="B2003">
        <v>1</v>
      </c>
      <c r="C2003">
        <v>1</v>
      </c>
      <c r="D2003">
        <v>1</v>
      </c>
      <c r="E2003" t="s">
        <v>14</v>
      </c>
      <c r="F2003">
        <v>1</v>
      </c>
      <c r="G2003">
        <v>1</v>
      </c>
      <c r="H2003">
        <v>1</v>
      </c>
    </row>
    <row r="2004" spans="1:8" x14ac:dyDescent="0.3">
      <c r="A2004">
        <v>4</v>
      </c>
      <c r="B2004">
        <v>2</v>
      </c>
      <c r="C2004">
        <v>1</v>
      </c>
      <c r="D2004">
        <v>1</v>
      </c>
      <c r="E2004" t="s">
        <v>14</v>
      </c>
      <c r="F2004">
        <v>0</v>
      </c>
      <c r="G2004">
        <v>2</v>
      </c>
      <c r="H2004">
        <v>2</v>
      </c>
    </row>
    <row r="2005" spans="1:8" x14ac:dyDescent="0.3">
      <c r="A2005">
        <v>4</v>
      </c>
      <c r="B2005">
        <v>1</v>
      </c>
      <c r="C2005">
        <v>1</v>
      </c>
      <c r="D2005">
        <v>2</v>
      </c>
      <c r="E2005" t="s">
        <v>14</v>
      </c>
      <c r="F2005">
        <v>2</v>
      </c>
      <c r="G2005">
        <v>0</v>
      </c>
      <c r="H2005">
        <v>2</v>
      </c>
    </row>
    <row r="2006" spans="1:8" x14ac:dyDescent="0.3">
      <c r="A2006">
        <v>4</v>
      </c>
      <c r="B2006">
        <v>2</v>
      </c>
      <c r="C2006">
        <v>1</v>
      </c>
      <c r="D2006">
        <v>1</v>
      </c>
      <c r="E2006" t="s">
        <v>14</v>
      </c>
      <c r="F2006">
        <v>2</v>
      </c>
      <c r="G2006">
        <v>1</v>
      </c>
      <c r="H2006">
        <v>1</v>
      </c>
    </row>
    <row r="2007" spans="1:8" x14ac:dyDescent="0.3">
      <c r="A2007">
        <v>4</v>
      </c>
      <c r="B2007">
        <v>2</v>
      </c>
      <c r="C2007">
        <v>1</v>
      </c>
      <c r="D2007">
        <v>1</v>
      </c>
      <c r="E2007" t="s">
        <v>14</v>
      </c>
      <c r="F2007">
        <v>0</v>
      </c>
      <c r="G2007">
        <v>2</v>
      </c>
      <c r="H2007">
        <v>2</v>
      </c>
    </row>
    <row r="2008" spans="1:8" x14ac:dyDescent="0.3">
      <c r="A2008">
        <v>4</v>
      </c>
      <c r="B2008">
        <v>1</v>
      </c>
      <c r="C2008">
        <v>1</v>
      </c>
      <c r="D2008">
        <v>2</v>
      </c>
      <c r="E2008" t="s">
        <v>14</v>
      </c>
      <c r="F2008">
        <v>1</v>
      </c>
      <c r="G2008">
        <v>1</v>
      </c>
      <c r="H2008">
        <v>2</v>
      </c>
    </row>
    <row r="2009" spans="1:8" x14ac:dyDescent="0.3">
      <c r="A2009">
        <v>4</v>
      </c>
      <c r="B2009">
        <v>2</v>
      </c>
      <c r="C2009">
        <v>1</v>
      </c>
      <c r="D2009">
        <v>1</v>
      </c>
      <c r="E2009" t="s">
        <v>14</v>
      </c>
      <c r="F2009">
        <v>2</v>
      </c>
      <c r="G2009">
        <v>1</v>
      </c>
      <c r="H2009">
        <v>1</v>
      </c>
    </row>
    <row r="2010" spans="1:8" x14ac:dyDescent="0.3">
      <c r="A2010">
        <v>4</v>
      </c>
      <c r="B2010">
        <v>1</v>
      </c>
      <c r="C2010">
        <v>1</v>
      </c>
      <c r="D2010">
        <v>2</v>
      </c>
      <c r="E2010" t="s">
        <v>14</v>
      </c>
      <c r="F2010">
        <v>0</v>
      </c>
      <c r="G2010">
        <v>2</v>
      </c>
      <c r="H2010">
        <v>2</v>
      </c>
    </row>
    <row r="2011" spans="1:8" x14ac:dyDescent="0.3">
      <c r="A2011">
        <v>4</v>
      </c>
      <c r="B2011">
        <v>1</v>
      </c>
      <c r="C2011">
        <v>2</v>
      </c>
      <c r="D2011">
        <v>1</v>
      </c>
      <c r="E2011" t="s">
        <v>14</v>
      </c>
      <c r="F2011">
        <v>1</v>
      </c>
      <c r="G2011">
        <v>2</v>
      </c>
      <c r="H2011">
        <v>1</v>
      </c>
    </row>
    <row r="2012" spans="1:8" x14ac:dyDescent="0.3">
      <c r="A2012">
        <v>4</v>
      </c>
      <c r="B2012">
        <v>1</v>
      </c>
      <c r="C2012">
        <v>2</v>
      </c>
      <c r="D2012">
        <v>1</v>
      </c>
      <c r="E2012" t="s">
        <v>14</v>
      </c>
      <c r="F2012">
        <v>2</v>
      </c>
      <c r="G2012">
        <v>2</v>
      </c>
      <c r="H2012">
        <v>0</v>
      </c>
    </row>
    <row r="2013" spans="1:8" x14ac:dyDescent="0.3">
      <c r="A2013">
        <v>4</v>
      </c>
      <c r="B2013">
        <v>1</v>
      </c>
      <c r="C2013">
        <v>1</v>
      </c>
      <c r="D2013">
        <v>2</v>
      </c>
      <c r="E2013" t="s">
        <v>14</v>
      </c>
      <c r="F2013">
        <v>2</v>
      </c>
      <c r="G2013">
        <v>2</v>
      </c>
      <c r="H2013">
        <v>0</v>
      </c>
    </row>
    <row r="2014" spans="1:8" x14ac:dyDescent="0.3">
      <c r="A2014">
        <v>4</v>
      </c>
      <c r="B2014">
        <v>2</v>
      </c>
      <c r="C2014">
        <v>1</v>
      </c>
      <c r="D2014">
        <v>1</v>
      </c>
      <c r="E2014" t="s">
        <v>14</v>
      </c>
      <c r="F2014">
        <v>2</v>
      </c>
      <c r="G2014">
        <v>1</v>
      </c>
      <c r="H2014">
        <v>1</v>
      </c>
    </row>
    <row r="2015" spans="1:8" x14ac:dyDescent="0.3">
      <c r="A2015">
        <v>5</v>
      </c>
      <c r="B2015">
        <v>1</v>
      </c>
      <c r="C2015">
        <v>2</v>
      </c>
      <c r="D2015">
        <v>2</v>
      </c>
      <c r="E2015" t="s">
        <v>14</v>
      </c>
      <c r="F2015">
        <v>1</v>
      </c>
      <c r="G2015">
        <v>2</v>
      </c>
      <c r="H2015">
        <v>2</v>
      </c>
    </row>
    <row r="2016" spans="1:8" x14ac:dyDescent="0.3">
      <c r="A2016">
        <v>5</v>
      </c>
      <c r="B2016">
        <v>1</v>
      </c>
      <c r="C2016">
        <v>2</v>
      </c>
      <c r="D2016">
        <v>2</v>
      </c>
      <c r="E2016" t="s">
        <v>14</v>
      </c>
      <c r="F2016">
        <v>1</v>
      </c>
      <c r="G2016">
        <v>2</v>
      </c>
      <c r="H2016">
        <v>2</v>
      </c>
    </row>
    <row r="2017" spans="1:8" x14ac:dyDescent="0.3">
      <c r="A2017">
        <v>5</v>
      </c>
      <c r="B2017">
        <v>2</v>
      </c>
      <c r="C2017">
        <v>1</v>
      </c>
      <c r="D2017">
        <v>2</v>
      </c>
      <c r="E2017" t="s">
        <v>14</v>
      </c>
      <c r="F2017">
        <v>2</v>
      </c>
      <c r="G2017">
        <v>1</v>
      </c>
      <c r="H2017">
        <v>2</v>
      </c>
    </row>
    <row r="2018" spans="1:8" x14ac:dyDescent="0.3">
      <c r="A2018">
        <v>5</v>
      </c>
      <c r="B2018">
        <v>2</v>
      </c>
      <c r="C2018">
        <v>2</v>
      </c>
      <c r="D2018">
        <v>1</v>
      </c>
      <c r="E2018" t="s">
        <v>14</v>
      </c>
      <c r="F2018">
        <v>2</v>
      </c>
      <c r="G2018">
        <v>2</v>
      </c>
      <c r="H2018">
        <v>1</v>
      </c>
    </row>
    <row r="2019" spans="1:8" x14ac:dyDescent="0.3">
      <c r="A2019">
        <v>5</v>
      </c>
      <c r="B2019">
        <v>2</v>
      </c>
      <c r="C2019">
        <v>1</v>
      </c>
      <c r="D2019">
        <v>2</v>
      </c>
      <c r="E2019" t="s">
        <v>14</v>
      </c>
      <c r="F2019">
        <v>3</v>
      </c>
      <c r="G2019">
        <v>0</v>
      </c>
      <c r="H2019">
        <v>2</v>
      </c>
    </row>
    <row r="2020" spans="1:8" x14ac:dyDescent="0.3">
      <c r="A2020">
        <v>5</v>
      </c>
      <c r="B2020">
        <v>2</v>
      </c>
      <c r="C2020">
        <v>2</v>
      </c>
      <c r="D2020">
        <v>1</v>
      </c>
      <c r="E2020" t="s">
        <v>14</v>
      </c>
      <c r="F2020">
        <v>3</v>
      </c>
      <c r="G2020">
        <v>0</v>
      </c>
      <c r="H2020">
        <v>2</v>
      </c>
    </row>
    <row r="2021" spans="1:8" x14ac:dyDescent="0.3">
      <c r="A2021">
        <v>6</v>
      </c>
      <c r="B2021">
        <v>3</v>
      </c>
      <c r="C2021">
        <v>1</v>
      </c>
      <c r="D2021">
        <v>2</v>
      </c>
      <c r="E2021" t="s">
        <v>14</v>
      </c>
      <c r="F2021">
        <v>3</v>
      </c>
      <c r="G2021">
        <v>1</v>
      </c>
      <c r="H2021">
        <v>2</v>
      </c>
    </row>
    <row r="2022" spans="1:8" x14ac:dyDescent="0.3">
      <c r="A2022">
        <v>6</v>
      </c>
      <c r="B2022">
        <v>2</v>
      </c>
      <c r="C2022">
        <v>3</v>
      </c>
      <c r="D2022">
        <v>1</v>
      </c>
      <c r="E2022" t="s">
        <v>14</v>
      </c>
      <c r="F2022">
        <v>2</v>
      </c>
      <c r="G2022">
        <v>3</v>
      </c>
      <c r="H2022">
        <v>1</v>
      </c>
    </row>
    <row r="2023" spans="1:8" x14ac:dyDescent="0.3">
      <c r="A2023">
        <v>6</v>
      </c>
      <c r="B2023">
        <v>1</v>
      </c>
      <c r="C2023">
        <v>2</v>
      </c>
      <c r="D2023">
        <v>3</v>
      </c>
      <c r="E2023" t="s">
        <v>14</v>
      </c>
      <c r="F2023">
        <v>1</v>
      </c>
      <c r="G2023">
        <v>2</v>
      </c>
      <c r="H2023">
        <v>3</v>
      </c>
    </row>
    <row r="2024" spans="1:8" x14ac:dyDescent="0.3">
      <c r="A2024">
        <v>6</v>
      </c>
      <c r="B2024">
        <v>1</v>
      </c>
      <c r="C2024">
        <v>2</v>
      </c>
      <c r="D2024">
        <v>3</v>
      </c>
      <c r="E2024" t="s">
        <v>14</v>
      </c>
      <c r="F2024">
        <v>1</v>
      </c>
      <c r="G2024">
        <v>2</v>
      </c>
      <c r="H2024">
        <v>3</v>
      </c>
    </row>
    <row r="2025" spans="1:8" x14ac:dyDescent="0.3">
      <c r="A2025">
        <v>6</v>
      </c>
      <c r="B2025">
        <v>1</v>
      </c>
      <c r="C2025">
        <v>2</v>
      </c>
      <c r="D2025">
        <v>3</v>
      </c>
      <c r="E2025" t="s">
        <v>14</v>
      </c>
      <c r="F2025">
        <v>1</v>
      </c>
      <c r="G2025">
        <v>2</v>
      </c>
      <c r="H2025">
        <v>3</v>
      </c>
    </row>
    <row r="2026" spans="1:8" x14ac:dyDescent="0.3">
      <c r="A2026">
        <v>6</v>
      </c>
      <c r="B2026">
        <v>1</v>
      </c>
      <c r="C2026">
        <v>2</v>
      </c>
      <c r="D2026">
        <v>3</v>
      </c>
      <c r="E2026" t="s">
        <v>14</v>
      </c>
      <c r="F2026">
        <v>1</v>
      </c>
      <c r="G2026">
        <v>2</v>
      </c>
      <c r="H2026">
        <v>3</v>
      </c>
    </row>
    <row r="2027" spans="1:8" x14ac:dyDescent="0.3">
      <c r="A2027">
        <v>6</v>
      </c>
      <c r="B2027">
        <v>3</v>
      </c>
      <c r="C2027">
        <v>1</v>
      </c>
      <c r="D2027">
        <v>2</v>
      </c>
      <c r="E2027" t="s">
        <v>14</v>
      </c>
      <c r="F2027">
        <v>3</v>
      </c>
      <c r="G2027">
        <v>1</v>
      </c>
      <c r="H2027">
        <v>2</v>
      </c>
    </row>
    <row r="2028" spans="1:8" x14ac:dyDescent="0.3">
      <c r="A2028">
        <v>7</v>
      </c>
      <c r="B2028">
        <v>2</v>
      </c>
      <c r="C2028">
        <v>2</v>
      </c>
      <c r="D2028">
        <v>3</v>
      </c>
      <c r="E2028" t="s">
        <v>14</v>
      </c>
      <c r="F2028">
        <v>2</v>
      </c>
      <c r="G2028">
        <v>2</v>
      </c>
      <c r="H2028">
        <v>3</v>
      </c>
    </row>
    <row r="2029" spans="1:8" x14ac:dyDescent="0.3">
      <c r="A2029">
        <v>7</v>
      </c>
      <c r="B2029">
        <v>2</v>
      </c>
      <c r="C2029">
        <v>3</v>
      </c>
      <c r="D2029">
        <v>2</v>
      </c>
      <c r="E2029" t="s">
        <v>14</v>
      </c>
      <c r="F2029">
        <v>2</v>
      </c>
      <c r="G2029">
        <v>3</v>
      </c>
      <c r="H2029">
        <v>2</v>
      </c>
    </row>
    <row r="2030" spans="1:8" x14ac:dyDescent="0.3">
      <c r="A2030">
        <v>8</v>
      </c>
      <c r="B2030">
        <v>3</v>
      </c>
      <c r="C2030">
        <v>3</v>
      </c>
      <c r="D2030">
        <v>2</v>
      </c>
      <c r="E2030" t="s">
        <v>14</v>
      </c>
      <c r="F2030">
        <v>3</v>
      </c>
      <c r="G2030">
        <v>3</v>
      </c>
      <c r="H2030">
        <v>2</v>
      </c>
    </row>
    <row r="2031" spans="1:8" x14ac:dyDescent="0.3">
      <c r="A2031">
        <v>2</v>
      </c>
      <c r="B2031">
        <v>1</v>
      </c>
      <c r="C2031">
        <v>0</v>
      </c>
      <c r="D2031">
        <v>1</v>
      </c>
      <c r="E2031" t="s">
        <v>14</v>
      </c>
      <c r="F2031">
        <v>0</v>
      </c>
      <c r="G2031">
        <v>0</v>
      </c>
      <c r="H2031">
        <v>2</v>
      </c>
    </row>
    <row r="2032" spans="1:8" x14ac:dyDescent="0.3">
      <c r="A2032">
        <v>2</v>
      </c>
      <c r="B2032">
        <v>1</v>
      </c>
      <c r="C2032">
        <v>1</v>
      </c>
      <c r="D2032">
        <v>0</v>
      </c>
      <c r="E2032" t="s">
        <v>14</v>
      </c>
      <c r="F2032">
        <v>1</v>
      </c>
      <c r="G2032">
        <v>1</v>
      </c>
      <c r="H2032">
        <v>0</v>
      </c>
    </row>
    <row r="2033" spans="1:8" x14ac:dyDescent="0.3">
      <c r="A2033">
        <v>3</v>
      </c>
      <c r="B2033">
        <v>1</v>
      </c>
      <c r="C2033">
        <v>1</v>
      </c>
      <c r="D2033">
        <v>1</v>
      </c>
      <c r="E2033" t="s">
        <v>14</v>
      </c>
      <c r="F2033">
        <v>1</v>
      </c>
      <c r="G2033">
        <v>1</v>
      </c>
      <c r="H2033">
        <v>1</v>
      </c>
    </row>
    <row r="2034" spans="1:8" x14ac:dyDescent="0.3">
      <c r="A2034">
        <v>3</v>
      </c>
      <c r="B2034">
        <v>1</v>
      </c>
      <c r="C2034">
        <v>0</v>
      </c>
      <c r="D2034">
        <v>2</v>
      </c>
      <c r="E2034" t="s">
        <v>14</v>
      </c>
      <c r="F2034">
        <v>1</v>
      </c>
      <c r="G2034">
        <v>0</v>
      </c>
      <c r="H2034">
        <v>2</v>
      </c>
    </row>
    <row r="2035" spans="1:8" x14ac:dyDescent="0.3">
      <c r="A2035">
        <v>3</v>
      </c>
      <c r="B2035">
        <v>1</v>
      </c>
      <c r="C2035">
        <v>1</v>
      </c>
      <c r="D2035">
        <v>1</v>
      </c>
      <c r="E2035" t="s">
        <v>14</v>
      </c>
      <c r="F2035">
        <v>1</v>
      </c>
      <c r="G2035">
        <v>1</v>
      </c>
      <c r="H2035">
        <v>1</v>
      </c>
    </row>
    <row r="2036" spans="1:8" x14ac:dyDescent="0.3">
      <c r="A2036">
        <v>3</v>
      </c>
      <c r="B2036">
        <v>1</v>
      </c>
      <c r="C2036">
        <v>1</v>
      </c>
      <c r="D2036">
        <v>1</v>
      </c>
      <c r="E2036" t="s">
        <v>14</v>
      </c>
      <c r="F2036">
        <v>1</v>
      </c>
      <c r="G2036">
        <v>1</v>
      </c>
      <c r="H2036">
        <v>1</v>
      </c>
    </row>
    <row r="2037" spans="1:8" x14ac:dyDescent="0.3">
      <c r="A2037">
        <v>3</v>
      </c>
      <c r="B2037">
        <v>1</v>
      </c>
      <c r="C2037">
        <v>1</v>
      </c>
      <c r="D2037">
        <v>1</v>
      </c>
      <c r="E2037" t="s">
        <v>14</v>
      </c>
      <c r="F2037">
        <v>2</v>
      </c>
      <c r="G2037">
        <v>1</v>
      </c>
      <c r="H2037">
        <v>0</v>
      </c>
    </row>
    <row r="2038" spans="1:8" x14ac:dyDescent="0.3">
      <c r="A2038">
        <v>3</v>
      </c>
      <c r="B2038">
        <v>1</v>
      </c>
      <c r="C2038">
        <v>1</v>
      </c>
      <c r="D2038">
        <v>1</v>
      </c>
      <c r="E2038" t="s">
        <v>14</v>
      </c>
      <c r="F2038">
        <v>0</v>
      </c>
      <c r="G2038">
        <v>2</v>
      </c>
      <c r="H2038">
        <v>1</v>
      </c>
    </row>
    <row r="2039" spans="1:8" x14ac:dyDescent="0.3">
      <c r="A2039">
        <v>3</v>
      </c>
      <c r="B2039">
        <v>0</v>
      </c>
      <c r="C2039">
        <v>2</v>
      </c>
      <c r="D2039">
        <v>1</v>
      </c>
      <c r="E2039" t="s">
        <v>14</v>
      </c>
      <c r="F2039">
        <v>0</v>
      </c>
      <c r="G2039">
        <v>2</v>
      </c>
      <c r="H2039">
        <v>1</v>
      </c>
    </row>
    <row r="2040" spans="1:8" x14ac:dyDescent="0.3">
      <c r="A2040">
        <v>3</v>
      </c>
      <c r="B2040">
        <v>1</v>
      </c>
      <c r="C2040">
        <v>1</v>
      </c>
      <c r="D2040">
        <v>1</v>
      </c>
      <c r="E2040" t="s">
        <v>14</v>
      </c>
      <c r="F2040">
        <v>0</v>
      </c>
      <c r="G2040">
        <v>2</v>
      </c>
      <c r="H2040">
        <v>1</v>
      </c>
    </row>
    <row r="2041" spans="1:8" x14ac:dyDescent="0.3">
      <c r="A2041">
        <v>3</v>
      </c>
      <c r="B2041">
        <v>1</v>
      </c>
      <c r="C2041">
        <v>1</v>
      </c>
      <c r="D2041">
        <v>1</v>
      </c>
      <c r="E2041" t="s">
        <v>14</v>
      </c>
      <c r="F2041">
        <v>1</v>
      </c>
      <c r="G2041">
        <v>1</v>
      </c>
      <c r="H2041">
        <v>1</v>
      </c>
    </row>
    <row r="2042" spans="1:8" x14ac:dyDescent="0.3">
      <c r="A2042">
        <v>3</v>
      </c>
      <c r="B2042">
        <v>0</v>
      </c>
      <c r="C2042">
        <v>2</v>
      </c>
      <c r="D2042">
        <v>1</v>
      </c>
      <c r="E2042" t="s">
        <v>14</v>
      </c>
      <c r="F2042">
        <v>0</v>
      </c>
      <c r="G2042">
        <v>2</v>
      </c>
      <c r="H2042">
        <v>1</v>
      </c>
    </row>
    <row r="2043" spans="1:8" x14ac:dyDescent="0.3">
      <c r="A2043">
        <v>3</v>
      </c>
      <c r="B2043">
        <v>1</v>
      </c>
      <c r="C2043">
        <v>1</v>
      </c>
      <c r="D2043">
        <v>1</v>
      </c>
      <c r="E2043" t="s">
        <v>14</v>
      </c>
      <c r="F2043">
        <v>1</v>
      </c>
      <c r="G2043">
        <v>1</v>
      </c>
      <c r="H2043">
        <v>1</v>
      </c>
    </row>
    <row r="2044" spans="1:8" x14ac:dyDescent="0.3">
      <c r="A2044">
        <v>3</v>
      </c>
      <c r="B2044">
        <v>2</v>
      </c>
      <c r="C2044">
        <v>1</v>
      </c>
      <c r="D2044">
        <v>0</v>
      </c>
      <c r="E2044" t="s">
        <v>14</v>
      </c>
      <c r="F2044">
        <v>2</v>
      </c>
      <c r="G2044">
        <v>1</v>
      </c>
      <c r="H2044">
        <v>0</v>
      </c>
    </row>
    <row r="2045" spans="1:8" x14ac:dyDescent="0.3">
      <c r="A2045">
        <v>3</v>
      </c>
      <c r="B2045">
        <v>1</v>
      </c>
      <c r="C2045">
        <v>1</v>
      </c>
      <c r="D2045">
        <v>1</v>
      </c>
      <c r="E2045" t="s">
        <v>14</v>
      </c>
      <c r="F2045">
        <v>1</v>
      </c>
      <c r="G2045">
        <v>1</v>
      </c>
      <c r="H2045">
        <v>1</v>
      </c>
    </row>
    <row r="2046" spans="1:8" x14ac:dyDescent="0.3">
      <c r="A2046">
        <v>3</v>
      </c>
      <c r="B2046">
        <v>1</v>
      </c>
      <c r="C2046">
        <v>1</v>
      </c>
      <c r="D2046">
        <v>1</v>
      </c>
      <c r="E2046" t="s">
        <v>14</v>
      </c>
      <c r="F2046">
        <v>0</v>
      </c>
      <c r="G2046">
        <v>2</v>
      </c>
      <c r="H2046">
        <v>1</v>
      </c>
    </row>
    <row r="2047" spans="1:8" x14ac:dyDescent="0.3">
      <c r="A2047">
        <v>3</v>
      </c>
      <c r="B2047">
        <v>1</v>
      </c>
      <c r="C2047">
        <v>0</v>
      </c>
      <c r="D2047">
        <v>2</v>
      </c>
      <c r="E2047" t="s">
        <v>14</v>
      </c>
      <c r="F2047">
        <v>1</v>
      </c>
      <c r="G2047">
        <v>0</v>
      </c>
      <c r="H2047">
        <v>2</v>
      </c>
    </row>
    <row r="2048" spans="1:8" x14ac:dyDescent="0.3">
      <c r="A2048">
        <v>3</v>
      </c>
      <c r="B2048">
        <v>1</v>
      </c>
      <c r="C2048">
        <v>0</v>
      </c>
      <c r="D2048">
        <v>2</v>
      </c>
      <c r="E2048" t="s">
        <v>14</v>
      </c>
      <c r="F2048">
        <v>1</v>
      </c>
      <c r="G2048">
        <v>0</v>
      </c>
      <c r="H2048">
        <v>2</v>
      </c>
    </row>
    <row r="2049" spans="1:8" x14ac:dyDescent="0.3">
      <c r="A2049">
        <v>3</v>
      </c>
      <c r="B2049">
        <v>1</v>
      </c>
      <c r="C2049">
        <v>1</v>
      </c>
      <c r="D2049">
        <v>1</v>
      </c>
      <c r="E2049" t="s">
        <v>14</v>
      </c>
      <c r="F2049">
        <v>0</v>
      </c>
      <c r="G2049">
        <v>2</v>
      </c>
      <c r="H2049">
        <v>1</v>
      </c>
    </row>
    <row r="2050" spans="1:8" x14ac:dyDescent="0.3">
      <c r="A2050">
        <v>3</v>
      </c>
      <c r="B2050">
        <v>1</v>
      </c>
      <c r="C2050">
        <v>1</v>
      </c>
      <c r="D2050">
        <v>1</v>
      </c>
      <c r="E2050" t="s">
        <v>14</v>
      </c>
      <c r="F2050">
        <v>1</v>
      </c>
      <c r="G2050">
        <v>1</v>
      </c>
      <c r="H2050">
        <v>1</v>
      </c>
    </row>
    <row r="2051" spans="1:8" x14ac:dyDescent="0.3">
      <c r="A2051">
        <v>3</v>
      </c>
      <c r="B2051">
        <v>1</v>
      </c>
      <c r="C2051">
        <v>1</v>
      </c>
      <c r="D2051">
        <v>1</v>
      </c>
      <c r="E2051" t="s">
        <v>14</v>
      </c>
      <c r="F2051">
        <v>1</v>
      </c>
      <c r="G2051">
        <v>1</v>
      </c>
      <c r="H2051">
        <v>1</v>
      </c>
    </row>
    <row r="2052" spans="1:8" x14ac:dyDescent="0.3">
      <c r="A2052">
        <v>3</v>
      </c>
      <c r="B2052">
        <v>1</v>
      </c>
      <c r="C2052">
        <v>1</v>
      </c>
      <c r="D2052">
        <v>1</v>
      </c>
      <c r="E2052" t="s">
        <v>14</v>
      </c>
      <c r="F2052">
        <v>1</v>
      </c>
      <c r="G2052">
        <v>1</v>
      </c>
      <c r="H2052">
        <v>1</v>
      </c>
    </row>
    <row r="2053" spans="1:8" x14ac:dyDescent="0.3">
      <c r="A2053">
        <v>3</v>
      </c>
      <c r="B2053">
        <v>1</v>
      </c>
      <c r="C2053">
        <v>1</v>
      </c>
      <c r="D2053">
        <v>1</v>
      </c>
      <c r="E2053" t="s">
        <v>14</v>
      </c>
      <c r="F2053">
        <v>1</v>
      </c>
      <c r="G2053">
        <v>0</v>
      </c>
      <c r="H2053">
        <v>2</v>
      </c>
    </row>
    <row r="2054" spans="1:8" x14ac:dyDescent="0.3">
      <c r="A2054">
        <v>3</v>
      </c>
      <c r="B2054">
        <v>1</v>
      </c>
      <c r="C2054">
        <v>1</v>
      </c>
      <c r="D2054">
        <v>1</v>
      </c>
      <c r="E2054" t="s">
        <v>14</v>
      </c>
      <c r="F2054">
        <v>1</v>
      </c>
      <c r="G2054">
        <v>0</v>
      </c>
      <c r="H2054">
        <v>2</v>
      </c>
    </row>
    <row r="2055" spans="1:8" x14ac:dyDescent="0.3">
      <c r="A2055">
        <v>3</v>
      </c>
      <c r="B2055">
        <v>0</v>
      </c>
      <c r="C2055">
        <v>2</v>
      </c>
      <c r="D2055">
        <v>1</v>
      </c>
      <c r="E2055" t="s">
        <v>14</v>
      </c>
      <c r="F2055">
        <v>0</v>
      </c>
      <c r="G2055">
        <v>2</v>
      </c>
      <c r="H2055">
        <v>1</v>
      </c>
    </row>
    <row r="2056" spans="1:8" x14ac:dyDescent="0.3">
      <c r="A2056">
        <v>3</v>
      </c>
      <c r="B2056">
        <v>1</v>
      </c>
      <c r="C2056">
        <v>1</v>
      </c>
      <c r="D2056">
        <v>1</v>
      </c>
      <c r="E2056" t="s">
        <v>14</v>
      </c>
      <c r="F2056">
        <v>1</v>
      </c>
      <c r="G2056">
        <v>1</v>
      </c>
      <c r="H2056">
        <v>1</v>
      </c>
    </row>
    <row r="2057" spans="1:8" x14ac:dyDescent="0.3">
      <c r="A2057">
        <v>3</v>
      </c>
      <c r="B2057">
        <v>1</v>
      </c>
      <c r="C2057">
        <v>1</v>
      </c>
      <c r="D2057">
        <v>1</v>
      </c>
      <c r="E2057" t="s">
        <v>14</v>
      </c>
      <c r="F2057">
        <v>1</v>
      </c>
      <c r="G2057">
        <v>1</v>
      </c>
      <c r="H2057">
        <v>1</v>
      </c>
    </row>
    <row r="2058" spans="1:8" x14ac:dyDescent="0.3">
      <c r="A2058">
        <v>3</v>
      </c>
      <c r="B2058">
        <v>0</v>
      </c>
      <c r="C2058">
        <v>2</v>
      </c>
      <c r="D2058">
        <v>1</v>
      </c>
      <c r="E2058" t="s">
        <v>14</v>
      </c>
      <c r="F2058">
        <v>2</v>
      </c>
      <c r="G2058">
        <v>1</v>
      </c>
      <c r="H2058">
        <v>0</v>
      </c>
    </row>
    <row r="2059" spans="1:8" x14ac:dyDescent="0.3">
      <c r="A2059">
        <v>3</v>
      </c>
      <c r="B2059">
        <v>1</v>
      </c>
      <c r="C2059">
        <v>1</v>
      </c>
      <c r="D2059">
        <v>1</v>
      </c>
      <c r="E2059" t="s">
        <v>14</v>
      </c>
      <c r="F2059">
        <v>2</v>
      </c>
      <c r="G2059">
        <v>1</v>
      </c>
      <c r="H2059">
        <v>0</v>
      </c>
    </row>
    <row r="2060" spans="1:8" x14ac:dyDescent="0.3">
      <c r="A2060">
        <v>3</v>
      </c>
      <c r="B2060">
        <v>1</v>
      </c>
      <c r="C2060">
        <v>1</v>
      </c>
      <c r="D2060">
        <v>1</v>
      </c>
      <c r="E2060" t="s">
        <v>14</v>
      </c>
      <c r="F2060">
        <v>1</v>
      </c>
      <c r="G2060">
        <v>1</v>
      </c>
      <c r="H2060">
        <v>1</v>
      </c>
    </row>
    <row r="2061" spans="1:8" x14ac:dyDescent="0.3">
      <c r="A2061">
        <v>3</v>
      </c>
      <c r="B2061">
        <v>1</v>
      </c>
      <c r="C2061">
        <v>1</v>
      </c>
      <c r="D2061">
        <v>1</v>
      </c>
      <c r="E2061" t="s">
        <v>14</v>
      </c>
      <c r="F2061">
        <v>1</v>
      </c>
      <c r="G2061">
        <v>1</v>
      </c>
      <c r="H2061">
        <v>1</v>
      </c>
    </row>
    <row r="2062" spans="1:8" x14ac:dyDescent="0.3">
      <c r="A2062">
        <v>3</v>
      </c>
      <c r="B2062">
        <v>1</v>
      </c>
      <c r="C2062">
        <v>1</v>
      </c>
      <c r="D2062">
        <v>1</v>
      </c>
      <c r="E2062" t="s">
        <v>14</v>
      </c>
      <c r="F2062">
        <v>0</v>
      </c>
      <c r="G2062">
        <v>2</v>
      </c>
      <c r="H2062">
        <v>1</v>
      </c>
    </row>
    <row r="2063" spans="1:8" x14ac:dyDescent="0.3">
      <c r="A2063">
        <v>3</v>
      </c>
      <c r="B2063">
        <v>1</v>
      </c>
      <c r="C2063">
        <v>1</v>
      </c>
      <c r="D2063">
        <v>1</v>
      </c>
      <c r="E2063" t="s">
        <v>14</v>
      </c>
      <c r="F2063">
        <v>1</v>
      </c>
      <c r="G2063">
        <v>1</v>
      </c>
      <c r="H2063">
        <v>1</v>
      </c>
    </row>
    <row r="2064" spans="1:8" x14ac:dyDescent="0.3">
      <c r="A2064">
        <v>3</v>
      </c>
      <c r="B2064">
        <v>1</v>
      </c>
      <c r="C2064">
        <v>1</v>
      </c>
      <c r="D2064">
        <v>1</v>
      </c>
      <c r="E2064" t="s">
        <v>14</v>
      </c>
      <c r="F2064">
        <v>2</v>
      </c>
      <c r="G2064">
        <v>1</v>
      </c>
      <c r="H2064">
        <v>0</v>
      </c>
    </row>
    <row r="2065" spans="1:8" x14ac:dyDescent="0.3">
      <c r="A2065">
        <v>3</v>
      </c>
      <c r="B2065">
        <v>1</v>
      </c>
      <c r="C2065">
        <v>1</v>
      </c>
      <c r="D2065">
        <v>1</v>
      </c>
      <c r="E2065" t="s">
        <v>14</v>
      </c>
      <c r="F2065">
        <v>2</v>
      </c>
      <c r="G2065">
        <v>1</v>
      </c>
      <c r="H2065">
        <v>0</v>
      </c>
    </row>
    <row r="2066" spans="1:8" x14ac:dyDescent="0.3">
      <c r="A2066">
        <v>3</v>
      </c>
      <c r="B2066">
        <v>1</v>
      </c>
      <c r="C2066">
        <v>1</v>
      </c>
      <c r="D2066">
        <v>1</v>
      </c>
      <c r="E2066" t="s">
        <v>14</v>
      </c>
      <c r="F2066">
        <v>1</v>
      </c>
      <c r="G2066">
        <v>0</v>
      </c>
      <c r="H2066">
        <v>2</v>
      </c>
    </row>
    <row r="2067" spans="1:8" x14ac:dyDescent="0.3">
      <c r="A2067">
        <v>3</v>
      </c>
      <c r="B2067">
        <v>1</v>
      </c>
      <c r="C2067">
        <v>1</v>
      </c>
      <c r="D2067">
        <v>1</v>
      </c>
      <c r="E2067" t="s">
        <v>14</v>
      </c>
      <c r="F2067">
        <v>2</v>
      </c>
      <c r="G2067">
        <v>1</v>
      </c>
      <c r="H2067">
        <v>0</v>
      </c>
    </row>
    <row r="2068" spans="1:8" x14ac:dyDescent="0.3">
      <c r="A2068">
        <v>3</v>
      </c>
      <c r="B2068">
        <v>1</v>
      </c>
      <c r="C2068">
        <v>1</v>
      </c>
      <c r="D2068">
        <v>1</v>
      </c>
      <c r="E2068" t="s">
        <v>14</v>
      </c>
      <c r="F2068">
        <v>1</v>
      </c>
      <c r="G2068">
        <v>1</v>
      </c>
      <c r="H2068">
        <v>1</v>
      </c>
    </row>
    <row r="2069" spans="1:8" x14ac:dyDescent="0.3">
      <c r="A2069">
        <v>3</v>
      </c>
      <c r="B2069">
        <v>2</v>
      </c>
      <c r="C2069">
        <v>1</v>
      </c>
      <c r="D2069">
        <v>0</v>
      </c>
      <c r="E2069" t="s">
        <v>14</v>
      </c>
      <c r="F2069">
        <v>2</v>
      </c>
      <c r="G2069">
        <v>1</v>
      </c>
      <c r="H2069">
        <v>0</v>
      </c>
    </row>
    <row r="2070" spans="1:8" x14ac:dyDescent="0.3">
      <c r="A2070">
        <v>3</v>
      </c>
      <c r="B2070">
        <v>0</v>
      </c>
      <c r="C2070">
        <v>2</v>
      </c>
      <c r="D2070">
        <v>1</v>
      </c>
      <c r="E2070" t="s">
        <v>14</v>
      </c>
      <c r="F2070">
        <v>0</v>
      </c>
      <c r="G2070">
        <v>2</v>
      </c>
      <c r="H2070">
        <v>1</v>
      </c>
    </row>
    <row r="2071" spans="1:8" x14ac:dyDescent="0.3">
      <c r="A2071">
        <v>3</v>
      </c>
      <c r="B2071">
        <v>1</v>
      </c>
      <c r="C2071">
        <v>0</v>
      </c>
      <c r="D2071">
        <v>2</v>
      </c>
      <c r="E2071" t="s">
        <v>14</v>
      </c>
      <c r="F2071">
        <v>1</v>
      </c>
      <c r="G2071">
        <v>0</v>
      </c>
      <c r="H2071">
        <v>2</v>
      </c>
    </row>
    <row r="2072" spans="1:8" x14ac:dyDescent="0.3">
      <c r="A2072">
        <v>3</v>
      </c>
      <c r="B2072">
        <v>0</v>
      </c>
      <c r="C2072">
        <v>2</v>
      </c>
      <c r="D2072">
        <v>1</v>
      </c>
      <c r="E2072" t="s">
        <v>14</v>
      </c>
      <c r="F2072">
        <v>0</v>
      </c>
      <c r="G2072">
        <v>2</v>
      </c>
      <c r="H2072">
        <v>1</v>
      </c>
    </row>
    <row r="2073" spans="1:8" x14ac:dyDescent="0.3">
      <c r="A2073">
        <v>4</v>
      </c>
      <c r="B2073">
        <v>1</v>
      </c>
      <c r="C2073">
        <v>2</v>
      </c>
      <c r="D2073">
        <v>1</v>
      </c>
      <c r="E2073" t="s">
        <v>14</v>
      </c>
      <c r="F2073">
        <v>1</v>
      </c>
      <c r="G2073">
        <v>2</v>
      </c>
      <c r="H2073">
        <v>1</v>
      </c>
    </row>
    <row r="2074" spans="1:8" x14ac:dyDescent="0.3">
      <c r="A2074">
        <v>4</v>
      </c>
      <c r="B2074">
        <v>1</v>
      </c>
      <c r="C2074">
        <v>1</v>
      </c>
      <c r="D2074">
        <v>2</v>
      </c>
      <c r="E2074" t="s">
        <v>14</v>
      </c>
      <c r="F2074">
        <v>1</v>
      </c>
      <c r="G2074">
        <v>1</v>
      </c>
      <c r="H2074">
        <v>2</v>
      </c>
    </row>
    <row r="2075" spans="1:8" x14ac:dyDescent="0.3">
      <c r="A2075">
        <v>4</v>
      </c>
      <c r="B2075">
        <v>1</v>
      </c>
      <c r="C2075">
        <v>1</v>
      </c>
      <c r="D2075">
        <v>2</v>
      </c>
      <c r="E2075" t="s">
        <v>14</v>
      </c>
      <c r="F2075">
        <v>2</v>
      </c>
      <c r="G2075">
        <v>2</v>
      </c>
      <c r="H2075">
        <v>0</v>
      </c>
    </row>
    <row r="2076" spans="1:8" x14ac:dyDescent="0.3">
      <c r="A2076">
        <v>4</v>
      </c>
      <c r="B2076">
        <v>1</v>
      </c>
      <c r="C2076">
        <v>2</v>
      </c>
      <c r="D2076">
        <v>1</v>
      </c>
      <c r="E2076" t="s">
        <v>14</v>
      </c>
      <c r="F2076">
        <v>1</v>
      </c>
      <c r="G2076">
        <v>2</v>
      </c>
      <c r="H2076">
        <v>1</v>
      </c>
    </row>
    <row r="2077" spans="1:8" x14ac:dyDescent="0.3">
      <c r="A2077">
        <v>4</v>
      </c>
      <c r="B2077">
        <v>1</v>
      </c>
      <c r="C2077">
        <v>1</v>
      </c>
      <c r="D2077">
        <v>2</v>
      </c>
      <c r="E2077" t="s">
        <v>14</v>
      </c>
      <c r="F2077">
        <v>1</v>
      </c>
      <c r="G2077">
        <v>1</v>
      </c>
      <c r="H2077">
        <v>2</v>
      </c>
    </row>
    <row r="2078" spans="1:8" x14ac:dyDescent="0.3">
      <c r="A2078">
        <v>4</v>
      </c>
      <c r="B2078">
        <v>1</v>
      </c>
      <c r="C2078">
        <v>2</v>
      </c>
      <c r="D2078">
        <v>1</v>
      </c>
      <c r="E2078" t="s">
        <v>14</v>
      </c>
      <c r="F2078">
        <v>1</v>
      </c>
      <c r="G2078">
        <v>2</v>
      </c>
      <c r="H2078">
        <v>1</v>
      </c>
    </row>
    <row r="2079" spans="1:8" x14ac:dyDescent="0.3">
      <c r="A2079">
        <v>4</v>
      </c>
      <c r="B2079">
        <v>1</v>
      </c>
      <c r="C2079">
        <v>2</v>
      </c>
      <c r="D2079">
        <v>1</v>
      </c>
      <c r="E2079" t="s">
        <v>14</v>
      </c>
      <c r="F2079">
        <v>0</v>
      </c>
      <c r="G2079">
        <v>2</v>
      </c>
      <c r="H2079">
        <v>2</v>
      </c>
    </row>
    <row r="2080" spans="1:8" x14ac:dyDescent="0.3">
      <c r="A2080">
        <v>4</v>
      </c>
      <c r="B2080">
        <v>2</v>
      </c>
      <c r="C2080">
        <v>1</v>
      </c>
      <c r="D2080">
        <v>1</v>
      </c>
      <c r="E2080" t="s">
        <v>14</v>
      </c>
      <c r="F2080">
        <v>2</v>
      </c>
      <c r="G2080">
        <v>1</v>
      </c>
      <c r="H2080">
        <v>1</v>
      </c>
    </row>
    <row r="2081" spans="1:8" x14ac:dyDescent="0.3">
      <c r="A2081">
        <v>4</v>
      </c>
      <c r="B2081">
        <v>1</v>
      </c>
      <c r="C2081">
        <v>1</v>
      </c>
      <c r="D2081">
        <v>2</v>
      </c>
      <c r="E2081" t="s">
        <v>14</v>
      </c>
      <c r="F2081">
        <v>2</v>
      </c>
      <c r="G2081">
        <v>2</v>
      </c>
      <c r="H2081">
        <v>0</v>
      </c>
    </row>
    <row r="2082" spans="1:8" x14ac:dyDescent="0.3">
      <c r="A2082">
        <v>4</v>
      </c>
      <c r="B2082">
        <v>2</v>
      </c>
      <c r="C2082">
        <v>1</v>
      </c>
      <c r="D2082">
        <v>1</v>
      </c>
      <c r="E2082" t="s">
        <v>14</v>
      </c>
      <c r="F2082">
        <v>2</v>
      </c>
      <c r="G2082">
        <v>1</v>
      </c>
      <c r="H2082">
        <v>1</v>
      </c>
    </row>
    <row r="2083" spans="1:8" x14ac:dyDescent="0.3">
      <c r="A2083">
        <v>5</v>
      </c>
      <c r="B2083">
        <v>2</v>
      </c>
      <c r="C2083">
        <v>2</v>
      </c>
      <c r="D2083">
        <v>1</v>
      </c>
      <c r="E2083" t="s">
        <v>14</v>
      </c>
      <c r="F2083">
        <v>2</v>
      </c>
      <c r="G2083">
        <v>2</v>
      </c>
      <c r="H2083">
        <v>1</v>
      </c>
    </row>
    <row r="2084" spans="1:8" x14ac:dyDescent="0.3">
      <c r="A2084">
        <v>5</v>
      </c>
      <c r="B2084">
        <v>2</v>
      </c>
      <c r="C2084">
        <v>2</v>
      </c>
      <c r="D2084">
        <v>1</v>
      </c>
      <c r="E2084" t="s">
        <v>14</v>
      </c>
      <c r="F2084">
        <v>2</v>
      </c>
      <c r="G2084">
        <v>2</v>
      </c>
      <c r="H2084">
        <v>1</v>
      </c>
    </row>
    <row r="2085" spans="1:8" x14ac:dyDescent="0.3">
      <c r="A2085">
        <v>5</v>
      </c>
      <c r="B2085">
        <v>2</v>
      </c>
      <c r="C2085">
        <v>2</v>
      </c>
      <c r="D2085">
        <v>1</v>
      </c>
      <c r="E2085" t="s">
        <v>14</v>
      </c>
      <c r="F2085">
        <v>2</v>
      </c>
      <c r="G2085">
        <v>2</v>
      </c>
      <c r="H2085">
        <v>1</v>
      </c>
    </row>
    <row r="2086" spans="1:8" x14ac:dyDescent="0.3">
      <c r="A2086">
        <v>5</v>
      </c>
      <c r="B2086">
        <v>2</v>
      </c>
      <c r="C2086">
        <v>2</v>
      </c>
      <c r="D2086">
        <v>1</v>
      </c>
      <c r="E2086" t="s">
        <v>14</v>
      </c>
      <c r="F2086">
        <v>2</v>
      </c>
      <c r="G2086">
        <v>2</v>
      </c>
      <c r="H2086">
        <v>1</v>
      </c>
    </row>
    <row r="2087" spans="1:8" x14ac:dyDescent="0.3">
      <c r="A2087">
        <v>5</v>
      </c>
      <c r="B2087">
        <v>2</v>
      </c>
      <c r="C2087">
        <v>2</v>
      </c>
      <c r="D2087">
        <v>1</v>
      </c>
      <c r="E2087" t="s">
        <v>14</v>
      </c>
      <c r="F2087">
        <v>2</v>
      </c>
      <c r="G2087">
        <v>2</v>
      </c>
      <c r="H2087">
        <v>1</v>
      </c>
    </row>
    <row r="2088" spans="1:8" x14ac:dyDescent="0.3">
      <c r="A2088">
        <v>5</v>
      </c>
      <c r="B2088">
        <v>2</v>
      </c>
      <c r="C2088">
        <v>1</v>
      </c>
      <c r="D2088">
        <v>2</v>
      </c>
      <c r="E2088" t="s">
        <v>14</v>
      </c>
      <c r="F2088">
        <v>0</v>
      </c>
      <c r="G2088">
        <v>2</v>
      </c>
      <c r="H2088">
        <v>3</v>
      </c>
    </row>
    <row r="2089" spans="1:8" x14ac:dyDescent="0.3">
      <c r="A2089">
        <v>5</v>
      </c>
      <c r="B2089">
        <v>1</v>
      </c>
      <c r="C2089">
        <v>2</v>
      </c>
      <c r="D2089">
        <v>2</v>
      </c>
      <c r="E2089" t="s">
        <v>14</v>
      </c>
      <c r="F2089">
        <v>1</v>
      </c>
      <c r="G2089">
        <v>2</v>
      </c>
      <c r="H2089">
        <v>2</v>
      </c>
    </row>
    <row r="2090" spans="1:8" x14ac:dyDescent="0.3">
      <c r="A2090">
        <v>5</v>
      </c>
      <c r="B2090">
        <v>1</v>
      </c>
      <c r="C2090">
        <v>2</v>
      </c>
      <c r="D2090">
        <v>2</v>
      </c>
      <c r="E2090" t="s">
        <v>14</v>
      </c>
      <c r="F2090">
        <v>1</v>
      </c>
      <c r="G2090">
        <v>2</v>
      </c>
      <c r="H2090">
        <v>2</v>
      </c>
    </row>
    <row r="2091" spans="1:8" x14ac:dyDescent="0.3">
      <c r="A2091">
        <v>6</v>
      </c>
      <c r="B2091">
        <v>1</v>
      </c>
      <c r="C2091">
        <v>2</v>
      </c>
      <c r="D2091">
        <v>3</v>
      </c>
      <c r="E2091" t="s">
        <v>14</v>
      </c>
      <c r="F2091">
        <v>1</v>
      </c>
      <c r="G2091">
        <v>2</v>
      </c>
      <c r="H2091">
        <v>3</v>
      </c>
    </row>
    <row r="2092" spans="1:8" x14ac:dyDescent="0.3">
      <c r="A2092">
        <v>6</v>
      </c>
      <c r="B2092">
        <v>2</v>
      </c>
      <c r="C2092">
        <v>3</v>
      </c>
      <c r="D2092">
        <v>1</v>
      </c>
      <c r="E2092" t="s">
        <v>14</v>
      </c>
      <c r="F2092">
        <v>2</v>
      </c>
      <c r="G2092">
        <v>3</v>
      </c>
      <c r="H2092">
        <v>1</v>
      </c>
    </row>
    <row r="2093" spans="1:8" x14ac:dyDescent="0.3">
      <c r="A2093">
        <v>6</v>
      </c>
      <c r="B2093">
        <v>2</v>
      </c>
      <c r="C2093">
        <v>3</v>
      </c>
      <c r="D2093">
        <v>1</v>
      </c>
      <c r="E2093" t="s">
        <v>14</v>
      </c>
      <c r="F2093">
        <v>2</v>
      </c>
      <c r="G2093">
        <v>3</v>
      </c>
      <c r="H2093">
        <v>1</v>
      </c>
    </row>
    <row r="2094" spans="1:8" x14ac:dyDescent="0.3">
      <c r="A2094">
        <v>7</v>
      </c>
      <c r="B2094">
        <v>3</v>
      </c>
      <c r="C2094">
        <v>2</v>
      </c>
      <c r="D2094">
        <v>2</v>
      </c>
      <c r="E2094" t="s">
        <v>14</v>
      </c>
      <c r="F2094">
        <v>3</v>
      </c>
      <c r="G2094">
        <v>2</v>
      </c>
      <c r="H2094">
        <v>2</v>
      </c>
    </row>
    <row r="2095" spans="1:8" x14ac:dyDescent="0.3">
      <c r="A2095">
        <v>8</v>
      </c>
      <c r="B2095">
        <v>3</v>
      </c>
      <c r="C2095">
        <v>3</v>
      </c>
      <c r="D2095">
        <v>2</v>
      </c>
      <c r="E2095" t="s">
        <v>14</v>
      </c>
      <c r="F2095">
        <v>3</v>
      </c>
      <c r="G2095">
        <v>3</v>
      </c>
      <c r="H2095">
        <v>2</v>
      </c>
    </row>
    <row r="2096" spans="1:8" x14ac:dyDescent="0.3">
      <c r="A2096">
        <v>8</v>
      </c>
      <c r="B2096">
        <v>2</v>
      </c>
      <c r="C2096">
        <v>3</v>
      </c>
      <c r="D2096">
        <v>3</v>
      </c>
      <c r="E2096" t="s">
        <v>14</v>
      </c>
      <c r="F2096">
        <v>2</v>
      </c>
      <c r="G2096">
        <v>3</v>
      </c>
      <c r="H2096">
        <v>3</v>
      </c>
    </row>
    <row r="2097" spans="1:8" x14ac:dyDescent="0.3">
      <c r="A2097">
        <v>8</v>
      </c>
      <c r="B2097">
        <v>3</v>
      </c>
      <c r="C2097">
        <v>2</v>
      </c>
      <c r="D2097">
        <v>3</v>
      </c>
      <c r="E2097" t="s">
        <v>14</v>
      </c>
      <c r="F2097">
        <v>3</v>
      </c>
      <c r="G2097">
        <v>2</v>
      </c>
      <c r="H2097">
        <v>3</v>
      </c>
    </row>
    <row r="2098" spans="1:8" x14ac:dyDescent="0.3">
      <c r="A2098">
        <v>8</v>
      </c>
      <c r="B2098">
        <v>3</v>
      </c>
      <c r="C2098">
        <v>3</v>
      </c>
      <c r="D2098">
        <v>2</v>
      </c>
      <c r="E2098" t="s">
        <v>14</v>
      </c>
      <c r="F2098">
        <v>3</v>
      </c>
      <c r="G2098">
        <v>3</v>
      </c>
      <c r="H2098">
        <v>2</v>
      </c>
    </row>
    <row r="2099" spans="1:8" x14ac:dyDescent="0.3">
      <c r="A2099">
        <v>8</v>
      </c>
      <c r="B2099">
        <v>2</v>
      </c>
      <c r="C2099">
        <v>3</v>
      </c>
      <c r="D2099">
        <v>3</v>
      </c>
      <c r="E2099" t="s">
        <v>14</v>
      </c>
      <c r="F2099">
        <v>2</v>
      </c>
      <c r="G2099">
        <v>3</v>
      </c>
      <c r="H2099">
        <v>3</v>
      </c>
    </row>
    <row r="2100" spans="1:8" x14ac:dyDescent="0.3">
      <c r="A2100">
        <v>8</v>
      </c>
      <c r="B2100">
        <v>3</v>
      </c>
      <c r="C2100">
        <v>3</v>
      </c>
      <c r="D2100">
        <v>2</v>
      </c>
      <c r="E2100" t="s">
        <v>14</v>
      </c>
      <c r="F2100">
        <v>3</v>
      </c>
      <c r="G2100">
        <v>3</v>
      </c>
      <c r="H2100">
        <v>2</v>
      </c>
    </row>
    <row r="2101" spans="1:8" x14ac:dyDescent="0.3">
      <c r="A2101">
        <v>2</v>
      </c>
      <c r="B2101">
        <v>1</v>
      </c>
      <c r="C2101">
        <v>1</v>
      </c>
      <c r="D2101">
        <v>0</v>
      </c>
      <c r="E2101" t="s">
        <v>14</v>
      </c>
      <c r="F2101">
        <v>2</v>
      </c>
      <c r="G2101">
        <v>0</v>
      </c>
      <c r="H2101">
        <v>0</v>
      </c>
    </row>
    <row r="2102" spans="1:8" x14ac:dyDescent="0.3">
      <c r="A2102">
        <v>2</v>
      </c>
      <c r="B2102">
        <v>1</v>
      </c>
      <c r="C2102">
        <v>0</v>
      </c>
      <c r="D2102">
        <v>1</v>
      </c>
      <c r="E2102" t="s">
        <v>14</v>
      </c>
      <c r="F2102">
        <v>1</v>
      </c>
      <c r="G2102">
        <v>0</v>
      </c>
      <c r="H2102">
        <v>1</v>
      </c>
    </row>
    <row r="2103" spans="1:8" x14ac:dyDescent="0.3">
      <c r="A2103">
        <v>2</v>
      </c>
      <c r="B2103">
        <v>1</v>
      </c>
      <c r="C2103">
        <v>0</v>
      </c>
      <c r="D2103">
        <v>1</v>
      </c>
      <c r="E2103" t="s">
        <v>14</v>
      </c>
      <c r="F2103">
        <v>1</v>
      </c>
      <c r="G2103">
        <v>0</v>
      </c>
      <c r="H2103">
        <v>1</v>
      </c>
    </row>
    <row r="2104" spans="1:8" x14ac:dyDescent="0.3">
      <c r="A2104">
        <v>2</v>
      </c>
      <c r="B2104">
        <v>0</v>
      </c>
      <c r="C2104">
        <v>1</v>
      </c>
      <c r="D2104">
        <v>1</v>
      </c>
      <c r="E2104" t="s">
        <v>14</v>
      </c>
      <c r="F2104">
        <v>0</v>
      </c>
      <c r="G2104">
        <v>1</v>
      </c>
      <c r="H2104">
        <v>1</v>
      </c>
    </row>
    <row r="2105" spans="1:8" x14ac:dyDescent="0.3">
      <c r="A2105">
        <v>2</v>
      </c>
      <c r="B2105">
        <v>1</v>
      </c>
      <c r="C2105">
        <v>0</v>
      </c>
      <c r="D2105">
        <v>1</v>
      </c>
      <c r="E2105" t="s">
        <v>14</v>
      </c>
      <c r="F2105">
        <v>0</v>
      </c>
      <c r="G2105">
        <v>0</v>
      </c>
      <c r="H2105">
        <v>2</v>
      </c>
    </row>
    <row r="2106" spans="1:8" x14ac:dyDescent="0.3">
      <c r="A2106">
        <v>3</v>
      </c>
      <c r="B2106">
        <v>1</v>
      </c>
      <c r="C2106">
        <v>1</v>
      </c>
      <c r="D2106">
        <v>1</v>
      </c>
      <c r="E2106" t="s">
        <v>14</v>
      </c>
      <c r="F2106">
        <v>1</v>
      </c>
      <c r="G2106">
        <v>1</v>
      </c>
      <c r="H2106">
        <v>1</v>
      </c>
    </row>
    <row r="2107" spans="1:8" x14ac:dyDescent="0.3">
      <c r="A2107">
        <v>3</v>
      </c>
      <c r="B2107">
        <v>1</v>
      </c>
      <c r="C2107">
        <v>1</v>
      </c>
      <c r="D2107">
        <v>1</v>
      </c>
      <c r="E2107" t="s">
        <v>14</v>
      </c>
      <c r="F2107">
        <v>1</v>
      </c>
      <c r="G2107">
        <v>1</v>
      </c>
      <c r="H2107">
        <v>1</v>
      </c>
    </row>
    <row r="2108" spans="1:8" x14ac:dyDescent="0.3">
      <c r="A2108">
        <v>3</v>
      </c>
      <c r="B2108">
        <v>1</v>
      </c>
      <c r="C2108">
        <v>0</v>
      </c>
      <c r="D2108">
        <v>2</v>
      </c>
      <c r="E2108" t="s">
        <v>14</v>
      </c>
      <c r="F2108">
        <v>0</v>
      </c>
      <c r="G2108">
        <v>2</v>
      </c>
      <c r="H2108">
        <v>1</v>
      </c>
    </row>
    <row r="2109" spans="1:8" x14ac:dyDescent="0.3">
      <c r="A2109">
        <v>3</v>
      </c>
      <c r="B2109">
        <v>1</v>
      </c>
      <c r="C2109">
        <v>1</v>
      </c>
      <c r="D2109">
        <v>1</v>
      </c>
      <c r="E2109" t="s">
        <v>14</v>
      </c>
      <c r="F2109">
        <v>1</v>
      </c>
      <c r="G2109">
        <v>1</v>
      </c>
      <c r="H2109">
        <v>1</v>
      </c>
    </row>
    <row r="2110" spans="1:8" x14ac:dyDescent="0.3">
      <c r="A2110">
        <v>3</v>
      </c>
      <c r="B2110">
        <v>1</v>
      </c>
      <c r="C2110">
        <v>1</v>
      </c>
      <c r="D2110">
        <v>1</v>
      </c>
      <c r="E2110" t="s">
        <v>14</v>
      </c>
      <c r="F2110">
        <v>1</v>
      </c>
      <c r="G2110">
        <v>1</v>
      </c>
      <c r="H2110">
        <v>1</v>
      </c>
    </row>
    <row r="2111" spans="1:8" x14ac:dyDescent="0.3">
      <c r="A2111">
        <v>3</v>
      </c>
      <c r="B2111">
        <v>1</v>
      </c>
      <c r="C2111">
        <v>1</v>
      </c>
      <c r="D2111">
        <v>1</v>
      </c>
      <c r="E2111" t="s">
        <v>14</v>
      </c>
      <c r="F2111">
        <v>1</v>
      </c>
      <c r="G2111">
        <v>0</v>
      </c>
      <c r="H2111">
        <v>2</v>
      </c>
    </row>
    <row r="2112" spans="1:8" x14ac:dyDescent="0.3">
      <c r="A2112">
        <v>3</v>
      </c>
      <c r="B2112">
        <v>1</v>
      </c>
      <c r="C2112">
        <v>1</v>
      </c>
      <c r="D2112">
        <v>1</v>
      </c>
      <c r="E2112" t="s">
        <v>14</v>
      </c>
      <c r="F2112">
        <v>1</v>
      </c>
      <c r="G2112">
        <v>1</v>
      </c>
      <c r="H2112">
        <v>1</v>
      </c>
    </row>
    <row r="2113" spans="1:8" x14ac:dyDescent="0.3">
      <c r="A2113">
        <v>3</v>
      </c>
      <c r="B2113">
        <v>1</v>
      </c>
      <c r="C2113">
        <v>1</v>
      </c>
      <c r="D2113">
        <v>1</v>
      </c>
      <c r="E2113" t="s">
        <v>14</v>
      </c>
      <c r="F2113">
        <v>1</v>
      </c>
      <c r="G2113">
        <v>1</v>
      </c>
      <c r="H2113">
        <v>1</v>
      </c>
    </row>
    <row r="2114" spans="1:8" x14ac:dyDescent="0.3">
      <c r="A2114">
        <v>3</v>
      </c>
      <c r="B2114">
        <v>1</v>
      </c>
      <c r="C2114">
        <v>1</v>
      </c>
      <c r="D2114">
        <v>1</v>
      </c>
      <c r="E2114" t="s">
        <v>14</v>
      </c>
      <c r="F2114">
        <v>1</v>
      </c>
      <c r="G2114">
        <v>1</v>
      </c>
      <c r="H2114">
        <v>1</v>
      </c>
    </row>
    <row r="2115" spans="1:8" x14ac:dyDescent="0.3">
      <c r="A2115">
        <v>3</v>
      </c>
      <c r="B2115">
        <v>1</v>
      </c>
      <c r="C2115">
        <v>1</v>
      </c>
      <c r="D2115">
        <v>1</v>
      </c>
      <c r="E2115" t="s">
        <v>14</v>
      </c>
      <c r="F2115">
        <v>1</v>
      </c>
      <c r="G2115">
        <v>1</v>
      </c>
      <c r="H2115">
        <v>1</v>
      </c>
    </row>
    <row r="2116" spans="1:8" x14ac:dyDescent="0.3">
      <c r="A2116">
        <v>3</v>
      </c>
      <c r="B2116">
        <v>1</v>
      </c>
      <c r="C2116">
        <v>0</v>
      </c>
      <c r="D2116">
        <v>2</v>
      </c>
      <c r="E2116" t="s">
        <v>14</v>
      </c>
      <c r="F2116">
        <v>1</v>
      </c>
      <c r="G2116">
        <v>0</v>
      </c>
      <c r="H2116">
        <v>2</v>
      </c>
    </row>
    <row r="2117" spans="1:8" x14ac:dyDescent="0.3">
      <c r="A2117">
        <v>3</v>
      </c>
      <c r="B2117">
        <v>1</v>
      </c>
      <c r="C2117">
        <v>1</v>
      </c>
      <c r="D2117">
        <v>1</v>
      </c>
      <c r="E2117" t="s">
        <v>14</v>
      </c>
      <c r="F2117">
        <v>0</v>
      </c>
      <c r="G2117">
        <v>2</v>
      </c>
      <c r="H2117">
        <v>1</v>
      </c>
    </row>
    <row r="2118" spans="1:8" x14ac:dyDescent="0.3">
      <c r="A2118">
        <v>3</v>
      </c>
      <c r="B2118">
        <v>1</v>
      </c>
      <c r="C2118">
        <v>1</v>
      </c>
      <c r="D2118">
        <v>1</v>
      </c>
      <c r="E2118" t="s">
        <v>14</v>
      </c>
      <c r="F2118">
        <v>0</v>
      </c>
      <c r="G2118">
        <v>2</v>
      </c>
      <c r="H2118">
        <v>1</v>
      </c>
    </row>
    <row r="2119" spans="1:8" x14ac:dyDescent="0.3">
      <c r="A2119">
        <v>3</v>
      </c>
      <c r="B2119">
        <v>1</v>
      </c>
      <c r="C2119">
        <v>0</v>
      </c>
      <c r="D2119">
        <v>2</v>
      </c>
      <c r="E2119" t="s">
        <v>14</v>
      </c>
      <c r="F2119">
        <v>1</v>
      </c>
      <c r="G2119">
        <v>0</v>
      </c>
      <c r="H2119">
        <v>2</v>
      </c>
    </row>
    <row r="2120" spans="1:8" x14ac:dyDescent="0.3">
      <c r="A2120">
        <v>3</v>
      </c>
      <c r="B2120">
        <v>1</v>
      </c>
      <c r="C2120">
        <v>1</v>
      </c>
      <c r="D2120">
        <v>1</v>
      </c>
      <c r="E2120" t="s">
        <v>14</v>
      </c>
      <c r="F2120">
        <v>1</v>
      </c>
      <c r="G2120">
        <v>0</v>
      </c>
      <c r="H2120">
        <v>2</v>
      </c>
    </row>
    <row r="2121" spans="1:8" x14ac:dyDescent="0.3">
      <c r="A2121">
        <v>3</v>
      </c>
      <c r="B2121">
        <v>1</v>
      </c>
      <c r="C2121">
        <v>1</v>
      </c>
      <c r="D2121">
        <v>1</v>
      </c>
      <c r="E2121" t="s">
        <v>14</v>
      </c>
      <c r="F2121">
        <v>1</v>
      </c>
      <c r="G2121">
        <v>0</v>
      </c>
      <c r="H2121">
        <v>2</v>
      </c>
    </row>
    <row r="2122" spans="1:8" x14ac:dyDescent="0.3">
      <c r="A2122">
        <v>3</v>
      </c>
      <c r="B2122">
        <v>1</v>
      </c>
      <c r="C2122">
        <v>1</v>
      </c>
      <c r="D2122">
        <v>1</v>
      </c>
      <c r="E2122" t="s">
        <v>14</v>
      </c>
      <c r="F2122">
        <v>1</v>
      </c>
      <c r="G2122">
        <v>1</v>
      </c>
      <c r="H2122">
        <v>1</v>
      </c>
    </row>
    <row r="2123" spans="1:8" x14ac:dyDescent="0.3">
      <c r="A2123">
        <v>3</v>
      </c>
      <c r="B2123">
        <v>1</v>
      </c>
      <c r="C2123">
        <v>0</v>
      </c>
      <c r="D2123">
        <v>2</v>
      </c>
      <c r="E2123" t="s">
        <v>14</v>
      </c>
      <c r="F2123">
        <v>1</v>
      </c>
      <c r="G2123">
        <v>0</v>
      </c>
      <c r="H2123">
        <v>2</v>
      </c>
    </row>
    <row r="2124" spans="1:8" x14ac:dyDescent="0.3">
      <c r="A2124">
        <v>3</v>
      </c>
      <c r="B2124">
        <v>0</v>
      </c>
      <c r="C2124">
        <v>2</v>
      </c>
      <c r="D2124">
        <v>1</v>
      </c>
      <c r="E2124" t="s">
        <v>14</v>
      </c>
      <c r="F2124">
        <v>2</v>
      </c>
      <c r="G2124">
        <v>1</v>
      </c>
      <c r="H2124">
        <v>0</v>
      </c>
    </row>
    <row r="2125" spans="1:8" x14ac:dyDescent="0.3">
      <c r="A2125">
        <v>3</v>
      </c>
      <c r="B2125">
        <v>1</v>
      </c>
      <c r="C2125">
        <v>1</v>
      </c>
      <c r="D2125">
        <v>1</v>
      </c>
      <c r="E2125" t="s">
        <v>14</v>
      </c>
      <c r="F2125">
        <v>1</v>
      </c>
      <c r="G2125">
        <v>1</v>
      </c>
      <c r="H2125">
        <v>1</v>
      </c>
    </row>
    <row r="2126" spans="1:8" x14ac:dyDescent="0.3">
      <c r="A2126">
        <v>3</v>
      </c>
      <c r="B2126">
        <v>1</v>
      </c>
      <c r="C2126">
        <v>1</v>
      </c>
      <c r="D2126">
        <v>1</v>
      </c>
      <c r="E2126" t="s">
        <v>14</v>
      </c>
      <c r="F2126">
        <v>1</v>
      </c>
      <c r="G2126">
        <v>0</v>
      </c>
      <c r="H2126">
        <v>2</v>
      </c>
    </row>
    <row r="2127" spans="1:8" x14ac:dyDescent="0.3">
      <c r="A2127">
        <v>3</v>
      </c>
      <c r="B2127">
        <v>1</v>
      </c>
      <c r="C2127">
        <v>1</v>
      </c>
      <c r="D2127">
        <v>1</v>
      </c>
      <c r="E2127" t="s">
        <v>14</v>
      </c>
      <c r="F2127">
        <v>1</v>
      </c>
      <c r="G2127">
        <v>1</v>
      </c>
      <c r="H2127">
        <v>1</v>
      </c>
    </row>
    <row r="2128" spans="1:8" x14ac:dyDescent="0.3">
      <c r="A2128">
        <v>3</v>
      </c>
      <c r="B2128">
        <v>0</v>
      </c>
      <c r="C2128">
        <v>2</v>
      </c>
      <c r="D2128">
        <v>1</v>
      </c>
      <c r="E2128" t="s">
        <v>14</v>
      </c>
      <c r="F2128">
        <v>0</v>
      </c>
      <c r="G2128">
        <v>2</v>
      </c>
      <c r="H2128">
        <v>1</v>
      </c>
    </row>
    <row r="2129" spans="1:8" x14ac:dyDescent="0.3">
      <c r="A2129">
        <v>3</v>
      </c>
      <c r="B2129">
        <v>1</v>
      </c>
      <c r="C2129">
        <v>0</v>
      </c>
      <c r="D2129">
        <v>2</v>
      </c>
      <c r="E2129" t="s">
        <v>14</v>
      </c>
      <c r="F2129">
        <v>1</v>
      </c>
      <c r="G2129">
        <v>0</v>
      </c>
      <c r="H2129">
        <v>2</v>
      </c>
    </row>
    <row r="2130" spans="1:8" x14ac:dyDescent="0.3">
      <c r="A2130">
        <v>3</v>
      </c>
      <c r="B2130">
        <v>1</v>
      </c>
      <c r="C2130">
        <v>1</v>
      </c>
      <c r="D2130">
        <v>1</v>
      </c>
      <c r="E2130" t="s">
        <v>14</v>
      </c>
      <c r="F2130">
        <v>1</v>
      </c>
      <c r="G2130">
        <v>0</v>
      </c>
      <c r="H2130">
        <v>2</v>
      </c>
    </row>
    <row r="2131" spans="1:8" x14ac:dyDescent="0.3">
      <c r="A2131">
        <v>3</v>
      </c>
      <c r="B2131">
        <v>1</v>
      </c>
      <c r="C2131">
        <v>1</v>
      </c>
      <c r="D2131">
        <v>1</v>
      </c>
      <c r="E2131" t="s">
        <v>14</v>
      </c>
      <c r="F2131">
        <v>1</v>
      </c>
      <c r="G2131">
        <v>0</v>
      </c>
      <c r="H2131">
        <v>2</v>
      </c>
    </row>
    <row r="2132" spans="1:8" x14ac:dyDescent="0.3">
      <c r="A2132">
        <v>3</v>
      </c>
      <c r="B2132">
        <v>1</v>
      </c>
      <c r="C2132">
        <v>0</v>
      </c>
      <c r="D2132">
        <v>2</v>
      </c>
      <c r="E2132" t="s">
        <v>14</v>
      </c>
      <c r="F2132">
        <v>0</v>
      </c>
      <c r="G2132">
        <v>2</v>
      </c>
      <c r="H2132">
        <v>1</v>
      </c>
    </row>
    <row r="2133" spans="1:8" x14ac:dyDescent="0.3">
      <c r="A2133">
        <v>3</v>
      </c>
      <c r="B2133">
        <v>2</v>
      </c>
      <c r="C2133">
        <v>1</v>
      </c>
      <c r="D2133">
        <v>0</v>
      </c>
      <c r="E2133" t="s">
        <v>14</v>
      </c>
      <c r="F2133">
        <v>0</v>
      </c>
      <c r="G2133">
        <v>2</v>
      </c>
      <c r="H2133">
        <v>1</v>
      </c>
    </row>
    <row r="2134" spans="1:8" x14ac:dyDescent="0.3">
      <c r="A2134">
        <v>3</v>
      </c>
      <c r="B2134">
        <v>1</v>
      </c>
      <c r="C2134">
        <v>1</v>
      </c>
      <c r="D2134">
        <v>1</v>
      </c>
      <c r="E2134" t="s">
        <v>14</v>
      </c>
      <c r="F2134">
        <v>1</v>
      </c>
      <c r="G2134">
        <v>0</v>
      </c>
      <c r="H2134">
        <v>2</v>
      </c>
    </row>
    <row r="2135" spans="1:8" x14ac:dyDescent="0.3">
      <c r="A2135">
        <v>3</v>
      </c>
      <c r="B2135">
        <v>0</v>
      </c>
      <c r="C2135">
        <v>2</v>
      </c>
      <c r="D2135">
        <v>1</v>
      </c>
      <c r="E2135" t="s">
        <v>14</v>
      </c>
      <c r="F2135">
        <v>0</v>
      </c>
      <c r="G2135">
        <v>2</v>
      </c>
      <c r="H2135">
        <v>1</v>
      </c>
    </row>
    <row r="2136" spans="1:8" x14ac:dyDescent="0.3">
      <c r="A2136">
        <v>3</v>
      </c>
      <c r="B2136">
        <v>0</v>
      </c>
      <c r="C2136">
        <v>2</v>
      </c>
      <c r="D2136">
        <v>1</v>
      </c>
      <c r="E2136" t="s">
        <v>14</v>
      </c>
      <c r="F2136">
        <v>0</v>
      </c>
      <c r="G2136">
        <v>2</v>
      </c>
      <c r="H2136">
        <v>1</v>
      </c>
    </row>
    <row r="2137" spans="1:8" x14ac:dyDescent="0.3">
      <c r="A2137">
        <v>3</v>
      </c>
      <c r="B2137">
        <v>0</v>
      </c>
      <c r="C2137">
        <v>2</v>
      </c>
      <c r="D2137">
        <v>1</v>
      </c>
      <c r="E2137" t="s">
        <v>14</v>
      </c>
      <c r="F2137">
        <v>0</v>
      </c>
      <c r="G2137">
        <v>2</v>
      </c>
      <c r="H2137">
        <v>1</v>
      </c>
    </row>
    <row r="2138" spans="1:8" x14ac:dyDescent="0.3">
      <c r="A2138">
        <v>3</v>
      </c>
      <c r="B2138">
        <v>1</v>
      </c>
      <c r="C2138">
        <v>0</v>
      </c>
      <c r="D2138">
        <v>2</v>
      </c>
      <c r="E2138" t="s">
        <v>14</v>
      </c>
      <c r="F2138">
        <v>0</v>
      </c>
      <c r="G2138">
        <v>2</v>
      </c>
      <c r="H2138">
        <v>1</v>
      </c>
    </row>
    <row r="2139" spans="1:8" x14ac:dyDescent="0.3">
      <c r="A2139">
        <v>3</v>
      </c>
      <c r="B2139">
        <v>1</v>
      </c>
      <c r="C2139">
        <v>1</v>
      </c>
      <c r="D2139">
        <v>1</v>
      </c>
      <c r="E2139" t="s">
        <v>14</v>
      </c>
      <c r="F2139">
        <v>1</v>
      </c>
      <c r="G2139">
        <v>1</v>
      </c>
      <c r="H2139">
        <v>1</v>
      </c>
    </row>
    <row r="2140" spans="1:8" x14ac:dyDescent="0.3">
      <c r="A2140">
        <v>3</v>
      </c>
      <c r="B2140">
        <v>1</v>
      </c>
      <c r="C2140">
        <v>1</v>
      </c>
      <c r="D2140">
        <v>1</v>
      </c>
      <c r="E2140" t="s">
        <v>14</v>
      </c>
      <c r="F2140">
        <v>0</v>
      </c>
      <c r="G2140">
        <v>2</v>
      </c>
      <c r="H2140">
        <v>1</v>
      </c>
    </row>
    <row r="2141" spans="1:8" x14ac:dyDescent="0.3">
      <c r="A2141">
        <v>3</v>
      </c>
      <c r="B2141">
        <v>1</v>
      </c>
      <c r="C2141">
        <v>1</v>
      </c>
      <c r="D2141">
        <v>1</v>
      </c>
      <c r="E2141" t="s">
        <v>14</v>
      </c>
      <c r="F2141">
        <v>2</v>
      </c>
      <c r="G2141">
        <v>1</v>
      </c>
      <c r="H2141">
        <v>0</v>
      </c>
    </row>
    <row r="2142" spans="1:8" x14ac:dyDescent="0.3">
      <c r="A2142">
        <v>3</v>
      </c>
      <c r="B2142">
        <v>1</v>
      </c>
      <c r="C2142">
        <v>1</v>
      </c>
      <c r="D2142">
        <v>1</v>
      </c>
      <c r="E2142" t="s">
        <v>14</v>
      </c>
      <c r="F2142">
        <v>1</v>
      </c>
      <c r="G2142">
        <v>0</v>
      </c>
      <c r="H2142">
        <v>2</v>
      </c>
    </row>
    <row r="2143" spans="1:8" x14ac:dyDescent="0.3">
      <c r="A2143">
        <v>3</v>
      </c>
      <c r="B2143">
        <v>2</v>
      </c>
      <c r="C2143">
        <v>1</v>
      </c>
      <c r="D2143">
        <v>0</v>
      </c>
      <c r="E2143" t="s">
        <v>14</v>
      </c>
      <c r="F2143">
        <v>2</v>
      </c>
      <c r="G2143">
        <v>1</v>
      </c>
      <c r="H2143">
        <v>0</v>
      </c>
    </row>
    <row r="2144" spans="1:8" x14ac:dyDescent="0.3">
      <c r="A2144">
        <v>3</v>
      </c>
      <c r="B2144">
        <v>1</v>
      </c>
      <c r="C2144">
        <v>1</v>
      </c>
      <c r="D2144">
        <v>1</v>
      </c>
      <c r="E2144" t="s">
        <v>14</v>
      </c>
      <c r="F2144">
        <v>1</v>
      </c>
      <c r="G2144">
        <v>1</v>
      </c>
      <c r="H2144">
        <v>1</v>
      </c>
    </row>
    <row r="2145" spans="1:8" x14ac:dyDescent="0.3">
      <c r="A2145">
        <v>3</v>
      </c>
      <c r="B2145">
        <v>1</v>
      </c>
      <c r="C2145">
        <v>1</v>
      </c>
      <c r="D2145">
        <v>1</v>
      </c>
      <c r="E2145" t="s">
        <v>14</v>
      </c>
      <c r="F2145">
        <v>2</v>
      </c>
      <c r="G2145">
        <v>1</v>
      </c>
      <c r="H2145">
        <v>0</v>
      </c>
    </row>
    <row r="2146" spans="1:8" x14ac:dyDescent="0.3">
      <c r="A2146">
        <v>3</v>
      </c>
      <c r="B2146">
        <v>1</v>
      </c>
      <c r="C2146">
        <v>1</v>
      </c>
      <c r="D2146">
        <v>1</v>
      </c>
      <c r="E2146" t="s">
        <v>14</v>
      </c>
      <c r="F2146">
        <v>1</v>
      </c>
      <c r="G2146">
        <v>1</v>
      </c>
      <c r="H2146">
        <v>1</v>
      </c>
    </row>
    <row r="2147" spans="1:8" x14ac:dyDescent="0.3">
      <c r="A2147">
        <v>3</v>
      </c>
      <c r="B2147">
        <v>1</v>
      </c>
      <c r="C2147">
        <v>1</v>
      </c>
      <c r="D2147">
        <v>1</v>
      </c>
      <c r="E2147" t="s">
        <v>14</v>
      </c>
      <c r="F2147">
        <v>1</v>
      </c>
      <c r="G2147">
        <v>1</v>
      </c>
      <c r="H2147">
        <v>1</v>
      </c>
    </row>
    <row r="2148" spans="1:8" x14ac:dyDescent="0.3">
      <c r="A2148">
        <v>3</v>
      </c>
      <c r="B2148">
        <v>0</v>
      </c>
      <c r="C2148">
        <v>2</v>
      </c>
      <c r="D2148">
        <v>1</v>
      </c>
      <c r="E2148" t="s">
        <v>14</v>
      </c>
      <c r="F2148">
        <v>0</v>
      </c>
      <c r="G2148">
        <v>2</v>
      </c>
      <c r="H2148">
        <v>1</v>
      </c>
    </row>
    <row r="2149" spans="1:8" x14ac:dyDescent="0.3">
      <c r="A2149">
        <v>4</v>
      </c>
      <c r="B2149">
        <v>1</v>
      </c>
      <c r="C2149">
        <v>1</v>
      </c>
      <c r="D2149">
        <v>2</v>
      </c>
      <c r="E2149" t="s">
        <v>14</v>
      </c>
      <c r="F2149">
        <v>1</v>
      </c>
      <c r="G2149">
        <v>1</v>
      </c>
      <c r="H2149">
        <v>2</v>
      </c>
    </row>
    <row r="2150" spans="1:8" x14ac:dyDescent="0.3">
      <c r="A2150">
        <v>4</v>
      </c>
      <c r="B2150">
        <v>1</v>
      </c>
      <c r="C2150">
        <v>1</v>
      </c>
      <c r="D2150">
        <v>2</v>
      </c>
      <c r="E2150" t="s">
        <v>14</v>
      </c>
      <c r="F2150">
        <v>2</v>
      </c>
      <c r="G2150">
        <v>0</v>
      </c>
      <c r="H2150">
        <v>2</v>
      </c>
    </row>
    <row r="2151" spans="1:8" x14ac:dyDescent="0.3">
      <c r="A2151">
        <v>4</v>
      </c>
      <c r="B2151">
        <v>1</v>
      </c>
      <c r="C2151">
        <v>1</v>
      </c>
      <c r="D2151">
        <v>2</v>
      </c>
      <c r="E2151" t="s">
        <v>14</v>
      </c>
      <c r="F2151">
        <v>1</v>
      </c>
      <c r="G2151">
        <v>1</v>
      </c>
      <c r="H2151">
        <v>2</v>
      </c>
    </row>
    <row r="2152" spans="1:8" x14ac:dyDescent="0.3">
      <c r="A2152">
        <v>5</v>
      </c>
      <c r="B2152">
        <v>2</v>
      </c>
      <c r="C2152">
        <v>2</v>
      </c>
      <c r="D2152">
        <v>1</v>
      </c>
      <c r="E2152" t="s">
        <v>14</v>
      </c>
      <c r="F2152">
        <v>2</v>
      </c>
      <c r="G2152">
        <v>2</v>
      </c>
      <c r="H2152">
        <v>1</v>
      </c>
    </row>
    <row r="2153" spans="1:8" x14ac:dyDescent="0.3">
      <c r="A2153">
        <v>5</v>
      </c>
      <c r="B2153">
        <v>2</v>
      </c>
      <c r="C2153">
        <v>2</v>
      </c>
      <c r="D2153">
        <v>1</v>
      </c>
      <c r="E2153" t="s">
        <v>14</v>
      </c>
      <c r="F2153">
        <v>2</v>
      </c>
      <c r="G2153">
        <v>3</v>
      </c>
      <c r="H2153">
        <v>0</v>
      </c>
    </row>
    <row r="2154" spans="1:8" x14ac:dyDescent="0.3">
      <c r="A2154">
        <v>5</v>
      </c>
      <c r="B2154">
        <v>1</v>
      </c>
      <c r="C2154">
        <v>2</v>
      </c>
      <c r="D2154">
        <v>2</v>
      </c>
      <c r="E2154" t="s">
        <v>14</v>
      </c>
      <c r="F2154">
        <v>1</v>
      </c>
      <c r="G2154">
        <v>2</v>
      </c>
      <c r="H2154">
        <v>2</v>
      </c>
    </row>
    <row r="2155" spans="1:8" x14ac:dyDescent="0.3">
      <c r="A2155">
        <v>5</v>
      </c>
      <c r="B2155">
        <v>2</v>
      </c>
      <c r="C2155">
        <v>1</v>
      </c>
      <c r="D2155">
        <v>2</v>
      </c>
      <c r="E2155" t="s">
        <v>14</v>
      </c>
      <c r="F2155">
        <v>2</v>
      </c>
      <c r="G2155">
        <v>3</v>
      </c>
      <c r="H2155">
        <v>0</v>
      </c>
    </row>
    <row r="2156" spans="1:8" x14ac:dyDescent="0.3">
      <c r="A2156">
        <v>5</v>
      </c>
      <c r="B2156">
        <v>2</v>
      </c>
      <c r="C2156">
        <v>2</v>
      </c>
      <c r="D2156">
        <v>1</v>
      </c>
      <c r="E2156" t="s">
        <v>14</v>
      </c>
      <c r="F2156">
        <v>3</v>
      </c>
      <c r="G2156">
        <v>0</v>
      </c>
      <c r="H2156">
        <v>2</v>
      </c>
    </row>
    <row r="2157" spans="1:8" x14ac:dyDescent="0.3">
      <c r="A2157">
        <v>5</v>
      </c>
      <c r="B2157">
        <v>2</v>
      </c>
      <c r="C2157">
        <v>1</v>
      </c>
      <c r="D2157">
        <v>2</v>
      </c>
      <c r="E2157" t="s">
        <v>14</v>
      </c>
      <c r="F2157">
        <v>2</v>
      </c>
      <c r="G2157">
        <v>1</v>
      </c>
      <c r="H2157">
        <v>2</v>
      </c>
    </row>
    <row r="2158" spans="1:8" x14ac:dyDescent="0.3">
      <c r="A2158">
        <v>5</v>
      </c>
      <c r="B2158">
        <v>2</v>
      </c>
      <c r="C2158">
        <v>1</v>
      </c>
      <c r="D2158">
        <v>2</v>
      </c>
      <c r="E2158" t="s">
        <v>14</v>
      </c>
      <c r="F2158">
        <v>2</v>
      </c>
      <c r="G2158">
        <v>1</v>
      </c>
      <c r="H2158">
        <v>2</v>
      </c>
    </row>
    <row r="2159" spans="1:8" x14ac:dyDescent="0.3">
      <c r="A2159">
        <v>6</v>
      </c>
      <c r="B2159">
        <v>2</v>
      </c>
      <c r="C2159">
        <v>2</v>
      </c>
      <c r="D2159">
        <v>2</v>
      </c>
      <c r="E2159" t="s">
        <v>14</v>
      </c>
      <c r="F2159">
        <v>2</v>
      </c>
      <c r="G2159">
        <v>2</v>
      </c>
      <c r="H2159">
        <v>2</v>
      </c>
    </row>
    <row r="2160" spans="1:8" x14ac:dyDescent="0.3">
      <c r="A2160">
        <v>6</v>
      </c>
      <c r="B2160">
        <v>3</v>
      </c>
      <c r="C2160">
        <v>1</v>
      </c>
      <c r="D2160">
        <v>2</v>
      </c>
      <c r="E2160" t="s">
        <v>14</v>
      </c>
      <c r="F2160">
        <v>3</v>
      </c>
      <c r="G2160">
        <v>1</v>
      </c>
      <c r="H2160">
        <v>2</v>
      </c>
    </row>
    <row r="2161" spans="1:8" x14ac:dyDescent="0.3">
      <c r="A2161">
        <v>6</v>
      </c>
      <c r="B2161">
        <v>3</v>
      </c>
      <c r="C2161">
        <v>1</v>
      </c>
      <c r="D2161">
        <v>2</v>
      </c>
      <c r="E2161" t="s">
        <v>14</v>
      </c>
      <c r="F2161">
        <v>3</v>
      </c>
      <c r="G2161">
        <v>1</v>
      </c>
      <c r="H2161">
        <v>2</v>
      </c>
    </row>
    <row r="2162" spans="1:8" x14ac:dyDescent="0.3">
      <c r="A2162">
        <v>6</v>
      </c>
      <c r="B2162">
        <v>2</v>
      </c>
      <c r="C2162">
        <v>2</v>
      </c>
      <c r="D2162">
        <v>2</v>
      </c>
      <c r="E2162" t="s">
        <v>14</v>
      </c>
      <c r="F2162">
        <v>2</v>
      </c>
      <c r="G2162">
        <v>2</v>
      </c>
      <c r="H2162">
        <v>2</v>
      </c>
    </row>
    <row r="2163" spans="1:8" x14ac:dyDescent="0.3">
      <c r="A2163">
        <v>6</v>
      </c>
      <c r="B2163">
        <v>3</v>
      </c>
      <c r="C2163">
        <v>1</v>
      </c>
      <c r="D2163">
        <v>2</v>
      </c>
      <c r="E2163" t="s">
        <v>14</v>
      </c>
      <c r="F2163">
        <v>3</v>
      </c>
      <c r="G2163">
        <v>1</v>
      </c>
      <c r="H2163">
        <v>2</v>
      </c>
    </row>
    <row r="2164" spans="1:8" x14ac:dyDescent="0.3">
      <c r="A2164">
        <v>6</v>
      </c>
      <c r="B2164">
        <v>2</v>
      </c>
      <c r="C2164">
        <v>3</v>
      </c>
      <c r="D2164">
        <v>1</v>
      </c>
      <c r="E2164" t="s">
        <v>14</v>
      </c>
      <c r="F2164">
        <v>2</v>
      </c>
      <c r="G2164">
        <v>3</v>
      </c>
      <c r="H2164">
        <v>1</v>
      </c>
    </row>
    <row r="2165" spans="1:8" x14ac:dyDescent="0.3">
      <c r="A2165">
        <v>7</v>
      </c>
      <c r="B2165">
        <v>3</v>
      </c>
      <c r="C2165">
        <v>2</v>
      </c>
      <c r="D2165">
        <v>2</v>
      </c>
      <c r="E2165" t="s">
        <v>14</v>
      </c>
      <c r="F2165">
        <v>3</v>
      </c>
      <c r="G2165">
        <v>2</v>
      </c>
      <c r="H2165">
        <v>2</v>
      </c>
    </row>
    <row r="2166" spans="1:8" x14ac:dyDescent="0.3">
      <c r="A2166">
        <v>7</v>
      </c>
      <c r="B2166">
        <v>2</v>
      </c>
      <c r="C2166">
        <v>2</v>
      </c>
      <c r="D2166">
        <v>3</v>
      </c>
      <c r="E2166" t="s">
        <v>14</v>
      </c>
      <c r="F2166">
        <v>2</v>
      </c>
      <c r="G2166">
        <v>2</v>
      </c>
      <c r="H2166">
        <v>3</v>
      </c>
    </row>
    <row r="2167" spans="1:8" x14ac:dyDescent="0.3">
      <c r="A2167">
        <v>7</v>
      </c>
      <c r="B2167">
        <v>2</v>
      </c>
      <c r="C2167">
        <v>2</v>
      </c>
      <c r="D2167">
        <v>3</v>
      </c>
      <c r="E2167" t="s">
        <v>14</v>
      </c>
      <c r="F2167">
        <v>2</v>
      </c>
      <c r="G2167">
        <v>2</v>
      </c>
      <c r="H2167">
        <v>3</v>
      </c>
    </row>
    <row r="2168" spans="1:8" x14ac:dyDescent="0.3">
      <c r="A2168">
        <v>8</v>
      </c>
      <c r="B2168">
        <v>3</v>
      </c>
      <c r="C2168">
        <v>2</v>
      </c>
      <c r="D2168">
        <v>3</v>
      </c>
      <c r="E2168" t="s">
        <v>14</v>
      </c>
      <c r="F2168">
        <v>3</v>
      </c>
      <c r="G2168">
        <v>2</v>
      </c>
      <c r="H2168">
        <v>3</v>
      </c>
    </row>
    <row r="2169" spans="1:8" x14ac:dyDescent="0.3">
      <c r="A2169">
        <v>8</v>
      </c>
      <c r="B2169">
        <v>2</v>
      </c>
      <c r="C2169">
        <v>3</v>
      </c>
      <c r="D2169">
        <v>3</v>
      </c>
      <c r="E2169" t="s">
        <v>14</v>
      </c>
      <c r="F2169">
        <v>2</v>
      </c>
      <c r="G2169">
        <v>3</v>
      </c>
      <c r="H2169">
        <v>3</v>
      </c>
    </row>
    <row r="2170" spans="1:8" x14ac:dyDescent="0.3">
      <c r="A2170">
        <v>8</v>
      </c>
      <c r="B2170">
        <v>3</v>
      </c>
      <c r="C2170">
        <v>2</v>
      </c>
      <c r="D2170">
        <v>3</v>
      </c>
      <c r="E2170" t="s">
        <v>14</v>
      </c>
      <c r="F2170">
        <v>3</v>
      </c>
      <c r="G2170">
        <v>2</v>
      </c>
      <c r="H2170">
        <v>3</v>
      </c>
    </row>
    <row r="2171" spans="1:8" x14ac:dyDescent="0.3">
      <c r="A2171">
        <v>2</v>
      </c>
      <c r="B2171">
        <v>1</v>
      </c>
      <c r="C2171">
        <v>0</v>
      </c>
      <c r="D2171">
        <v>1</v>
      </c>
      <c r="E2171" t="s">
        <v>14</v>
      </c>
      <c r="F2171">
        <v>0</v>
      </c>
      <c r="G2171">
        <v>0</v>
      </c>
      <c r="H2171">
        <v>2</v>
      </c>
    </row>
    <row r="2172" spans="1:8" x14ac:dyDescent="0.3">
      <c r="A2172">
        <v>2</v>
      </c>
      <c r="B2172">
        <v>1</v>
      </c>
      <c r="C2172">
        <v>1</v>
      </c>
      <c r="D2172">
        <v>0</v>
      </c>
      <c r="E2172" t="s">
        <v>14</v>
      </c>
      <c r="F2172">
        <v>2</v>
      </c>
      <c r="G2172">
        <v>0</v>
      </c>
      <c r="H2172">
        <v>0</v>
      </c>
    </row>
    <row r="2173" spans="1:8" x14ac:dyDescent="0.3">
      <c r="A2173">
        <v>2</v>
      </c>
      <c r="B2173">
        <v>1</v>
      </c>
      <c r="C2173">
        <v>0</v>
      </c>
      <c r="D2173">
        <v>1</v>
      </c>
      <c r="E2173" t="s">
        <v>14</v>
      </c>
      <c r="F2173">
        <v>1</v>
      </c>
      <c r="G2173">
        <v>0</v>
      </c>
      <c r="H2173">
        <v>1</v>
      </c>
    </row>
    <row r="2174" spans="1:8" x14ac:dyDescent="0.3">
      <c r="A2174">
        <v>2</v>
      </c>
      <c r="B2174">
        <v>0</v>
      </c>
      <c r="C2174">
        <v>1</v>
      </c>
      <c r="D2174">
        <v>1</v>
      </c>
      <c r="E2174" t="s">
        <v>14</v>
      </c>
      <c r="F2174">
        <v>2</v>
      </c>
      <c r="G2174">
        <v>0</v>
      </c>
      <c r="H2174">
        <v>0</v>
      </c>
    </row>
    <row r="2175" spans="1:8" x14ac:dyDescent="0.3">
      <c r="A2175">
        <v>2</v>
      </c>
      <c r="B2175">
        <v>1</v>
      </c>
      <c r="C2175">
        <v>1</v>
      </c>
      <c r="D2175">
        <v>0</v>
      </c>
      <c r="E2175" t="s">
        <v>14</v>
      </c>
      <c r="F2175">
        <v>1</v>
      </c>
      <c r="G2175">
        <v>1</v>
      </c>
      <c r="H2175">
        <v>0</v>
      </c>
    </row>
    <row r="2176" spans="1:8" x14ac:dyDescent="0.3">
      <c r="A2176">
        <v>2</v>
      </c>
      <c r="B2176">
        <v>1</v>
      </c>
      <c r="C2176">
        <v>1</v>
      </c>
      <c r="D2176">
        <v>0</v>
      </c>
      <c r="E2176" t="s">
        <v>14</v>
      </c>
      <c r="F2176">
        <v>0</v>
      </c>
      <c r="G2176">
        <v>2</v>
      </c>
      <c r="H2176">
        <v>0</v>
      </c>
    </row>
    <row r="2177" spans="1:8" x14ac:dyDescent="0.3">
      <c r="A2177">
        <v>3</v>
      </c>
      <c r="B2177">
        <v>1</v>
      </c>
      <c r="C2177">
        <v>0</v>
      </c>
      <c r="D2177">
        <v>2</v>
      </c>
      <c r="E2177" t="s">
        <v>14</v>
      </c>
      <c r="F2177">
        <v>2</v>
      </c>
      <c r="G2177">
        <v>1</v>
      </c>
      <c r="H2177">
        <v>0</v>
      </c>
    </row>
    <row r="2178" spans="1:8" x14ac:dyDescent="0.3">
      <c r="A2178">
        <v>3</v>
      </c>
      <c r="B2178">
        <v>1</v>
      </c>
      <c r="C2178">
        <v>1</v>
      </c>
      <c r="D2178">
        <v>1</v>
      </c>
      <c r="E2178" t="s">
        <v>14</v>
      </c>
      <c r="F2178">
        <v>1</v>
      </c>
      <c r="G2178">
        <v>1</v>
      </c>
      <c r="H2178">
        <v>1</v>
      </c>
    </row>
    <row r="2179" spans="1:8" x14ac:dyDescent="0.3">
      <c r="A2179">
        <v>3</v>
      </c>
      <c r="B2179">
        <v>2</v>
      </c>
      <c r="C2179">
        <v>1</v>
      </c>
      <c r="D2179">
        <v>0</v>
      </c>
      <c r="E2179" t="s">
        <v>14</v>
      </c>
      <c r="F2179">
        <v>2</v>
      </c>
      <c r="G2179">
        <v>1</v>
      </c>
      <c r="H2179">
        <v>0</v>
      </c>
    </row>
    <row r="2180" spans="1:8" x14ac:dyDescent="0.3">
      <c r="A2180">
        <v>3</v>
      </c>
      <c r="B2180">
        <v>1</v>
      </c>
      <c r="C2180">
        <v>1</v>
      </c>
      <c r="D2180">
        <v>1</v>
      </c>
      <c r="E2180" t="s">
        <v>14</v>
      </c>
      <c r="F2180">
        <v>1</v>
      </c>
      <c r="G2180">
        <v>1</v>
      </c>
      <c r="H2180">
        <v>1</v>
      </c>
    </row>
    <row r="2181" spans="1:8" x14ac:dyDescent="0.3">
      <c r="A2181">
        <v>3</v>
      </c>
      <c r="B2181">
        <v>1</v>
      </c>
      <c r="C2181">
        <v>1</v>
      </c>
      <c r="D2181">
        <v>1</v>
      </c>
      <c r="E2181" t="s">
        <v>14</v>
      </c>
      <c r="F2181">
        <v>0</v>
      </c>
      <c r="G2181">
        <v>2</v>
      </c>
      <c r="H2181">
        <v>1</v>
      </c>
    </row>
    <row r="2182" spans="1:8" x14ac:dyDescent="0.3">
      <c r="A2182">
        <v>3</v>
      </c>
      <c r="B2182">
        <v>1</v>
      </c>
      <c r="C2182">
        <v>1</v>
      </c>
      <c r="D2182">
        <v>1</v>
      </c>
      <c r="E2182" t="s">
        <v>14</v>
      </c>
      <c r="F2182">
        <v>1</v>
      </c>
      <c r="G2182">
        <v>1</v>
      </c>
      <c r="H2182">
        <v>1</v>
      </c>
    </row>
    <row r="2183" spans="1:8" x14ac:dyDescent="0.3">
      <c r="A2183">
        <v>3</v>
      </c>
      <c r="B2183">
        <v>1</v>
      </c>
      <c r="C2183">
        <v>1</v>
      </c>
      <c r="D2183">
        <v>1</v>
      </c>
      <c r="E2183" t="s">
        <v>14</v>
      </c>
      <c r="F2183">
        <v>2</v>
      </c>
      <c r="G2183">
        <v>1</v>
      </c>
      <c r="H2183">
        <v>0</v>
      </c>
    </row>
    <row r="2184" spans="1:8" x14ac:dyDescent="0.3">
      <c r="A2184">
        <v>3</v>
      </c>
      <c r="B2184">
        <v>1</v>
      </c>
      <c r="C2184">
        <v>1</v>
      </c>
      <c r="D2184">
        <v>1</v>
      </c>
      <c r="E2184" t="s">
        <v>14</v>
      </c>
      <c r="F2184">
        <v>2</v>
      </c>
      <c r="G2184">
        <v>1</v>
      </c>
      <c r="H2184">
        <v>0</v>
      </c>
    </row>
    <row r="2185" spans="1:8" x14ac:dyDescent="0.3">
      <c r="A2185">
        <v>3</v>
      </c>
      <c r="B2185">
        <v>1</v>
      </c>
      <c r="C2185">
        <v>1</v>
      </c>
      <c r="D2185">
        <v>1</v>
      </c>
      <c r="E2185" t="s">
        <v>14</v>
      </c>
      <c r="F2185">
        <v>2</v>
      </c>
      <c r="G2185">
        <v>1</v>
      </c>
      <c r="H2185">
        <v>0</v>
      </c>
    </row>
    <row r="2186" spans="1:8" x14ac:dyDescent="0.3">
      <c r="A2186">
        <v>3</v>
      </c>
      <c r="B2186">
        <v>0</v>
      </c>
      <c r="C2186">
        <v>2</v>
      </c>
      <c r="D2186">
        <v>1</v>
      </c>
      <c r="E2186" t="s">
        <v>14</v>
      </c>
      <c r="F2186">
        <v>0</v>
      </c>
      <c r="G2186">
        <v>2</v>
      </c>
      <c r="H2186">
        <v>1</v>
      </c>
    </row>
    <row r="2187" spans="1:8" x14ac:dyDescent="0.3">
      <c r="A2187">
        <v>3</v>
      </c>
      <c r="B2187">
        <v>1</v>
      </c>
      <c r="C2187">
        <v>1</v>
      </c>
      <c r="D2187">
        <v>1</v>
      </c>
      <c r="E2187" t="s">
        <v>14</v>
      </c>
      <c r="F2187">
        <v>1</v>
      </c>
      <c r="G2187">
        <v>1</v>
      </c>
      <c r="H2187">
        <v>1</v>
      </c>
    </row>
    <row r="2188" spans="1:8" x14ac:dyDescent="0.3">
      <c r="A2188">
        <v>3</v>
      </c>
      <c r="B2188">
        <v>1</v>
      </c>
      <c r="C2188">
        <v>1</v>
      </c>
      <c r="D2188">
        <v>1</v>
      </c>
      <c r="E2188" t="s">
        <v>14</v>
      </c>
      <c r="F2188">
        <v>2</v>
      </c>
      <c r="G2188">
        <v>1</v>
      </c>
      <c r="H2188">
        <v>0</v>
      </c>
    </row>
    <row r="2189" spans="1:8" x14ac:dyDescent="0.3">
      <c r="A2189">
        <v>3</v>
      </c>
      <c r="B2189">
        <v>1</v>
      </c>
      <c r="C2189">
        <v>1</v>
      </c>
      <c r="D2189">
        <v>1</v>
      </c>
      <c r="E2189" t="s">
        <v>14</v>
      </c>
      <c r="F2189">
        <v>1</v>
      </c>
      <c r="G2189">
        <v>1</v>
      </c>
      <c r="H2189">
        <v>1</v>
      </c>
    </row>
    <row r="2190" spans="1:8" x14ac:dyDescent="0.3">
      <c r="A2190">
        <v>3</v>
      </c>
      <c r="B2190">
        <v>2</v>
      </c>
      <c r="C2190">
        <v>1</v>
      </c>
      <c r="D2190">
        <v>0</v>
      </c>
      <c r="E2190" t="s">
        <v>14</v>
      </c>
      <c r="F2190">
        <v>2</v>
      </c>
      <c r="G2190">
        <v>1</v>
      </c>
      <c r="H2190">
        <v>0</v>
      </c>
    </row>
    <row r="2191" spans="1:8" x14ac:dyDescent="0.3">
      <c r="A2191">
        <v>3</v>
      </c>
      <c r="B2191">
        <v>1</v>
      </c>
      <c r="C2191">
        <v>1</v>
      </c>
      <c r="D2191">
        <v>1</v>
      </c>
      <c r="E2191" t="s">
        <v>14</v>
      </c>
      <c r="F2191">
        <v>1</v>
      </c>
      <c r="G2191">
        <v>0</v>
      </c>
      <c r="H2191">
        <v>2</v>
      </c>
    </row>
    <row r="2192" spans="1:8" x14ac:dyDescent="0.3">
      <c r="A2192">
        <v>3</v>
      </c>
      <c r="B2192">
        <v>1</v>
      </c>
      <c r="C2192">
        <v>1</v>
      </c>
      <c r="D2192">
        <v>1</v>
      </c>
      <c r="E2192" t="s">
        <v>14</v>
      </c>
      <c r="F2192">
        <v>1</v>
      </c>
      <c r="G2192">
        <v>1</v>
      </c>
      <c r="H2192">
        <v>1</v>
      </c>
    </row>
    <row r="2193" spans="1:8" x14ac:dyDescent="0.3">
      <c r="A2193">
        <v>3</v>
      </c>
      <c r="B2193">
        <v>1</v>
      </c>
      <c r="C2193">
        <v>1</v>
      </c>
      <c r="D2193">
        <v>1</v>
      </c>
      <c r="E2193" t="s">
        <v>14</v>
      </c>
      <c r="F2193">
        <v>1</v>
      </c>
      <c r="G2193">
        <v>1</v>
      </c>
      <c r="H2193">
        <v>1</v>
      </c>
    </row>
    <row r="2194" spans="1:8" x14ac:dyDescent="0.3">
      <c r="A2194">
        <v>3</v>
      </c>
      <c r="B2194">
        <v>1</v>
      </c>
      <c r="C2194">
        <v>1</v>
      </c>
      <c r="D2194">
        <v>1</v>
      </c>
      <c r="E2194" t="s">
        <v>14</v>
      </c>
      <c r="F2194">
        <v>1</v>
      </c>
      <c r="G2194">
        <v>1</v>
      </c>
      <c r="H2194">
        <v>1</v>
      </c>
    </row>
    <row r="2195" spans="1:8" x14ac:dyDescent="0.3">
      <c r="A2195">
        <v>3</v>
      </c>
      <c r="B2195">
        <v>1</v>
      </c>
      <c r="C2195">
        <v>0</v>
      </c>
      <c r="D2195">
        <v>2</v>
      </c>
      <c r="E2195" t="s">
        <v>14</v>
      </c>
      <c r="F2195">
        <v>0</v>
      </c>
      <c r="G2195">
        <v>2</v>
      </c>
      <c r="H2195">
        <v>1</v>
      </c>
    </row>
    <row r="2196" spans="1:8" x14ac:dyDescent="0.3">
      <c r="A2196">
        <v>3</v>
      </c>
      <c r="B2196">
        <v>1</v>
      </c>
      <c r="C2196">
        <v>1</v>
      </c>
      <c r="D2196">
        <v>1</v>
      </c>
      <c r="E2196" t="s">
        <v>14</v>
      </c>
      <c r="F2196">
        <v>1</v>
      </c>
      <c r="G2196">
        <v>1</v>
      </c>
      <c r="H2196">
        <v>1</v>
      </c>
    </row>
    <row r="2197" spans="1:8" x14ac:dyDescent="0.3">
      <c r="A2197">
        <v>3</v>
      </c>
      <c r="B2197">
        <v>1</v>
      </c>
      <c r="C2197">
        <v>0</v>
      </c>
      <c r="D2197">
        <v>2</v>
      </c>
      <c r="E2197" t="s">
        <v>14</v>
      </c>
      <c r="F2197">
        <v>1</v>
      </c>
      <c r="G2197">
        <v>0</v>
      </c>
      <c r="H2197">
        <v>2</v>
      </c>
    </row>
    <row r="2198" spans="1:8" x14ac:dyDescent="0.3">
      <c r="A2198">
        <v>3</v>
      </c>
      <c r="B2198">
        <v>2</v>
      </c>
      <c r="C2198">
        <v>1</v>
      </c>
      <c r="D2198">
        <v>0</v>
      </c>
      <c r="E2198" t="s">
        <v>14</v>
      </c>
      <c r="F2198">
        <v>0</v>
      </c>
      <c r="G2198">
        <v>2</v>
      </c>
      <c r="H2198">
        <v>1</v>
      </c>
    </row>
    <row r="2199" spans="1:8" x14ac:dyDescent="0.3">
      <c r="A2199">
        <v>3</v>
      </c>
      <c r="B2199">
        <v>2</v>
      </c>
      <c r="C2199">
        <v>1</v>
      </c>
      <c r="D2199">
        <v>0</v>
      </c>
      <c r="E2199" t="s">
        <v>14</v>
      </c>
      <c r="F2199">
        <v>2</v>
      </c>
      <c r="G2199">
        <v>1</v>
      </c>
      <c r="H2199">
        <v>0</v>
      </c>
    </row>
    <row r="2200" spans="1:8" x14ac:dyDescent="0.3">
      <c r="A2200">
        <v>3</v>
      </c>
      <c r="B2200">
        <v>0</v>
      </c>
      <c r="C2200">
        <v>2</v>
      </c>
      <c r="D2200">
        <v>1</v>
      </c>
      <c r="E2200" t="s">
        <v>14</v>
      </c>
      <c r="F2200">
        <v>0</v>
      </c>
      <c r="G2200">
        <v>2</v>
      </c>
      <c r="H2200">
        <v>1</v>
      </c>
    </row>
    <row r="2201" spans="1:8" x14ac:dyDescent="0.3">
      <c r="A2201">
        <v>3</v>
      </c>
      <c r="B2201">
        <v>0</v>
      </c>
      <c r="C2201">
        <v>2</v>
      </c>
      <c r="D2201">
        <v>1</v>
      </c>
      <c r="E2201" t="s">
        <v>14</v>
      </c>
      <c r="F2201">
        <v>0</v>
      </c>
      <c r="G2201">
        <v>2</v>
      </c>
      <c r="H2201">
        <v>1</v>
      </c>
    </row>
    <row r="2202" spans="1:8" x14ac:dyDescent="0.3">
      <c r="A2202">
        <v>3</v>
      </c>
      <c r="B2202">
        <v>2</v>
      </c>
      <c r="C2202">
        <v>1</v>
      </c>
      <c r="D2202">
        <v>0</v>
      </c>
      <c r="E2202" t="s">
        <v>14</v>
      </c>
      <c r="F2202">
        <v>0</v>
      </c>
      <c r="G2202">
        <v>2</v>
      </c>
      <c r="H2202">
        <v>1</v>
      </c>
    </row>
    <row r="2203" spans="1:8" x14ac:dyDescent="0.3">
      <c r="A2203">
        <v>3</v>
      </c>
      <c r="B2203">
        <v>1</v>
      </c>
      <c r="C2203">
        <v>0</v>
      </c>
      <c r="D2203">
        <v>2</v>
      </c>
      <c r="E2203" t="s">
        <v>14</v>
      </c>
      <c r="F2203">
        <v>1</v>
      </c>
      <c r="G2203">
        <v>0</v>
      </c>
      <c r="H2203">
        <v>2</v>
      </c>
    </row>
    <row r="2204" spans="1:8" x14ac:dyDescent="0.3">
      <c r="A2204">
        <v>3</v>
      </c>
      <c r="B2204">
        <v>1</v>
      </c>
      <c r="C2204">
        <v>1</v>
      </c>
      <c r="D2204">
        <v>1</v>
      </c>
      <c r="E2204" t="s">
        <v>14</v>
      </c>
      <c r="F2204">
        <v>1</v>
      </c>
      <c r="G2204">
        <v>0</v>
      </c>
      <c r="H2204">
        <v>2</v>
      </c>
    </row>
    <row r="2205" spans="1:8" x14ac:dyDescent="0.3">
      <c r="A2205">
        <v>3</v>
      </c>
      <c r="B2205">
        <v>0</v>
      </c>
      <c r="C2205">
        <v>2</v>
      </c>
      <c r="D2205">
        <v>1</v>
      </c>
      <c r="E2205" t="s">
        <v>14</v>
      </c>
      <c r="F2205">
        <v>0</v>
      </c>
      <c r="G2205">
        <v>2</v>
      </c>
      <c r="H2205">
        <v>1</v>
      </c>
    </row>
    <row r="2206" spans="1:8" x14ac:dyDescent="0.3">
      <c r="A2206">
        <v>3</v>
      </c>
      <c r="B2206">
        <v>1</v>
      </c>
      <c r="C2206">
        <v>1</v>
      </c>
      <c r="D2206">
        <v>1</v>
      </c>
      <c r="E2206" t="s">
        <v>14</v>
      </c>
      <c r="F2206">
        <v>1</v>
      </c>
      <c r="G2206">
        <v>0</v>
      </c>
      <c r="H2206">
        <v>2</v>
      </c>
    </row>
    <row r="2207" spans="1:8" x14ac:dyDescent="0.3">
      <c r="A2207">
        <v>3</v>
      </c>
      <c r="B2207">
        <v>1</v>
      </c>
      <c r="C2207">
        <v>1</v>
      </c>
      <c r="D2207">
        <v>1</v>
      </c>
      <c r="E2207" t="s">
        <v>14</v>
      </c>
      <c r="F2207">
        <v>1</v>
      </c>
      <c r="G2207">
        <v>1</v>
      </c>
      <c r="H2207">
        <v>1</v>
      </c>
    </row>
    <row r="2208" spans="1:8" x14ac:dyDescent="0.3">
      <c r="A2208">
        <v>3</v>
      </c>
      <c r="B2208">
        <v>1</v>
      </c>
      <c r="C2208">
        <v>1</v>
      </c>
      <c r="D2208">
        <v>1</v>
      </c>
      <c r="E2208" t="s">
        <v>14</v>
      </c>
      <c r="F2208">
        <v>2</v>
      </c>
      <c r="G2208">
        <v>1</v>
      </c>
      <c r="H2208">
        <v>0</v>
      </c>
    </row>
    <row r="2209" spans="1:8" x14ac:dyDescent="0.3">
      <c r="A2209">
        <v>3</v>
      </c>
      <c r="B2209">
        <v>1</v>
      </c>
      <c r="C2209">
        <v>1</v>
      </c>
      <c r="D2209">
        <v>1</v>
      </c>
      <c r="E2209" t="s">
        <v>14</v>
      </c>
      <c r="F2209">
        <v>1</v>
      </c>
      <c r="G2209">
        <v>1</v>
      </c>
      <c r="H2209">
        <v>1</v>
      </c>
    </row>
    <row r="2210" spans="1:8" x14ac:dyDescent="0.3">
      <c r="A2210">
        <v>3</v>
      </c>
      <c r="B2210">
        <v>1</v>
      </c>
      <c r="C2210">
        <v>1</v>
      </c>
      <c r="D2210">
        <v>1</v>
      </c>
      <c r="E2210" t="s">
        <v>14</v>
      </c>
      <c r="F2210">
        <v>1</v>
      </c>
      <c r="G2210">
        <v>1</v>
      </c>
      <c r="H2210">
        <v>1</v>
      </c>
    </row>
    <row r="2211" spans="1:8" x14ac:dyDescent="0.3">
      <c r="A2211">
        <v>3</v>
      </c>
      <c r="B2211">
        <v>2</v>
      </c>
      <c r="C2211">
        <v>1</v>
      </c>
      <c r="D2211">
        <v>0</v>
      </c>
      <c r="E2211" t="s">
        <v>14</v>
      </c>
      <c r="F2211">
        <v>2</v>
      </c>
      <c r="G2211">
        <v>1</v>
      </c>
      <c r="H2211">
        <v>0</v>
      </c>
    </row>
    <row r="2212" spans="1:8" x14ac:dyDescent="0.3">
      <c r="A2212">
        <v>3</v>
      </c>
      <c r="B2212">
        <v>1</v>
      </c>
      <c r="C2212">
        <v>1</v>
      </c>
      <c r="D2212">
        <v>1</v>
      </c>
      <c r="E2212" t="s">
        <v>14</v>
      </c>
      <c r="F2212">
        <v>1</v>
      </c>
      <c r="G2212">
        <v>1</v>
      </c>
      <c r="H2212">
        <v>1</v>
      </c>
    </row>
    <row r="2213" spans="1:8" x14ac:dyDescent="0.3">
      <c r="A2213">
        <v>3</v>
      </c>
      <c r="B2213">
        <v>2</v>
      </c>
      <c r="C2213">
        <v>1</v>
      </c>
      <c r="D2213">
        <v>0</v>
      </c>
      <c r="E2213" t="s">
        <v>14</v>
      </c>
      <c r="F2213">
        <v>2</v>
      </c>
      <c r="G2213">
        <v>1</v>
      </c>
      <c r="H2213">
        <v>0</v>
      </c>
    </row>
    <row r="2214" spans="1:8" x14ac:dyDescent="0.3">
      <c r="A2214">
        <v>3</v>
      </c>
      <c r="B2214">
        <v>1</v>
      </c>
      <c r="C2214">
        <v>1</v>
      </c>
      <c r="D2214">
        <v>1</v>
      </c>
      <c r="E2214" t="s">
        <v>14</v>
      </c>
      <c r="F2214">
        <v>1</v>
      </c>
      <c r="G2214">
        <v>0</v>
      </c>
      <c r="H2214">
        <v>2</v>
      </c>
    </row>
    <row r="2215" spans="1:8" x14ac:dyDescent="0.3">
      <c r="A2215">
        <v>3</v>
      </c>
      <c r="B2215">
        <v>1</v>
      </c>
      <c r="C2215">
        <v>0</v>
      </c>
      <c r="D2215">
        <v>2</v>
      </c>
      <c r="E2215" t="s">
        <v>14</v>
      </c>
      <c r="F2215">
        <v>1</v>
      </c>
      <c r="G2215">
        <v>0</v>
      </c>
      <c r="H2215">
        <v>2</v>
      </c>
    </row>
    <row r="2216" spans="1:8" x14ac:dyDescent="0.3">
      <c r="A2216">
        <v>3</v>
      </c>
      <c r="B2216">
        <v>1</v>
      </c>
      <c r="C2216">
        <v>1</v>
      </c>
      <c r="D2216">
        <v>1</v>
      </c>
      <c r="E2216" t="s">
        <v>14</v>
      </c>
      <c r="F2216">
        <v>1</v>
      </c>
      <c r="G2216">
        <v>1</v>
      </c>
      <c r="H2216">
        <v>1</v>
      </c>
    </row>
    <row r="2217" spans="1:8" x14ac:dyDescent="0.3">
      <c r="A2217">
        <v>4</v>
      </c>
      <c r="B2217">
        <v>1</v>
      </c>
      <c r="C2217">
        <v>1</v>
      </c>
      <c r="D2217">
        <v>2</v>
      </c>
      <c r="E2217" t="s">
        <v>14</v>
      </c>
      <c r="F2217">
        <v>1</v>
      </c>
      <c r="G2217">
        <v>1</v>
      </c>
      <c r="H2217">
        <v>2</v>
      </c>
    </row>
    <row r="2218" spans="1:8" x14ac:dyDescent="0.3">
      <c r="A2218">
        <v>4</v>
      </c>
      <c r="B2218">
        <v>1</v>
      </c>
      <c r="C2218">
        <v>2</v>
      </c>
      <c r="D2218">
        <v>1</v>
      </c>
      <c r="E2218" t="s">
        <v>14</v>
      </c>
      <c r="F2218">
        <v>1</v>
      </c>
      <c r="G2218">
        <v>2</v>
      </c>
      <c r="H2218">
        <v>1</v>
      </c>
    </row>
    <row r="2219" spans="1:8" x14ac:dyDescent="0.3">
      <c r="A2219">
        <v>4</v>
      </c>
      <c r="B2219">
        <v>1</v>
      </c>
      <c r="C2219">
        <v>2</v>
      </c>
      <c r="D2219">
        <v>1</v>
      </c>
      <c r="E2219" t="s">
        <v>14</v>
      </c>
      <c r="F2219">
        <v>0</v>
      </c>
      <c r="G2219">
        <v>2</v>
      </c>
      <c r="H2219">
        <v>2</v>
      </c>
    </row>
    <row r="2220" spans="1:8" x14ac:dyDescent="0.3">
      <c r="A2220">
        <v>4</v>
      </c>
      <c r="B2220">
        <v>1</v>
      </c>
      <c r="C2220">
        <v>1</v>
      </c>
      <c r="D2220">
        <v>2</v>
      </c>
      <c r="E2220" t="s">
        <v>14</v>
      </c>
      <c r="F2220">
        <v>2</v>
      </c>
      <c r="G2220">
        <v>2</v>
      </c>
      <c r="H2220">
        <v>0</v>
      </c>
    </row>
    <row r="2221" spans="1:8" x14ac:dyDescent="0.3">
      <c r="A2221">
        <v>4</v>
      </c>
      <c r="B2221">
        <v>1</v>
      </c>
      <c r="C2221">
        <v>2</v>
      </c>
      <c r="D2221">
        <v>1</v>
      </c>
      <c r="E2221" t="s">
        <v>14</v>
      </c>
      <c r="F2221">
        <v>1</v>
      </c>
      <c r="G2221">
        <v>2</v>
      </c>
      <c r="H2221">
        <v>1</v>
      </c>
    </row>
    <row r="2222" spans="1:8" x14ac:dyDescent="0.3">
      <c r="A2222">
        <v>4</v>
      </c>
      <c r="B2222">
        <v>2</v>
      </c>
      <c r="C2222">
        <v>1</v>
      </c>
      <c r="D2222">
        <v>1</v>
      </c>
      <c r="E2222" t="s">
        <v>14</v>
      </c>
      <c r="F2222">
        <v>0</v>
      </c>
      <c r="G2222">
        <v>2</v>
      </c>
      <c r="H2222">
        <v>2</v>
      </c>
    </row>
    <row r="2223" spans="1:8" x14ac:dyDescent="0.3">
      <c r="A2223">
        <v>4</v>
      </c>
      <c r="B2223">
        <v>1</v>
      </c>
      <c r="C2223">
        <v>2</v>
      </c>
      <c r="D2223">
        <v>1</v>
      </c>
      <c r="E2223" t="s">
        <v>14</v>
      </c>
      <c r="F2223">
        <v>1</v>
      </c>
      <c r="G2223">
        <v>2</v>
      </c>
      <c r="H2223">
        <v>1</v>
      </c>
    </row>
    <row r="2224" spans="1:8" x14ac:dyDescent="0.3">
      <c r="A2224">
        <v>4</v>
      </c>
      <c r="B2224">
        <v>2</v>
      </c>
      <c r="C2224">
        <v>1</v>
      </c>
      <c r="D2224">
        <v>1</v>
      </c>
      <c r="E2224" t="s">
        <v>14</v>
      </c>
      <c r="F2224">
        <v>2</v>
      </c>
      <c r="G2224">
        <v>1</v>
      </c>
      <c r="H2224">
        <v>1</v>
      </c>
    </row>
    <row r="2225" spans="1:8" x14ac:dyDescent="0.3">
      <c r="A2225">
        <v>4</v>
      </c>
      <c r="B2225">
        <v>1</v>
      </c>
      <c r="C2225">
        <v>2</v>
      </c>
      <c r="D2225">
        <v>1</v>
      </c>
      <c r="E2225" t="s">
        <v>14</v>
      </c>
      <c r="F2225">
        <v>1</v>
      </c>
      <c r="G2225">
        <v>2</v>
      </c>
      <c r="H2225">
        <v>1</v>
      </c>
    </row>
    <row r="2226" spans="1:8" x14ac:dyDescent="0.3">
      <c r="A2226">
        <v>5</v>
      </c>
      <c r="B2226">
        <v>2</v>
      </c>
      <c r="C2226">
        <v>1</v>
      </c>
      <c r="D2226">
        <v>2</v>
      </c>
      <c r="E2226" t="s">
        <v>14</v>
      </c>
      <c r="F2226">
        <v>2</v>
      </c>
      <c r="G2226">
        <v>1</v>
      </c>
      <c r="H2226">
        <v>2</v>
      </c>
    </row>
    <row r="2227" spans="1:8" x14ac:dyDescent="0.3">
      <c r="A2227">
        <v>5</v>
      </c>
      <c r="B2227">
        <v>1</v>
      </c>
      <c r="C2227">
        <v>2</v>
      </c>
      <c r="D2227">
        <v>2</v>
      </c>
      <c r="E2227" t="s">
        <v>14</v>
      </c>
      <c r="F2227">
        <v>2</v>
      </c>
      <c r="G2227">
        <v>3</v>
      </c>
      <c r="H2227">
        <v>0</v>
      </c>
    </row>
    <row r="2228" spans="1:8" x14ac:dyDescent="0.3">
      <c r="A2228">
        <v>5</v>
      </c>
      <c r="B2228">
        <v>2</v>
      </c>
      <c r="C2228">
        <v>1</v>
      </c>
      <c r="D2228">
        <v>2</v>
      </c>
      <c r="E2228" t="s">
        <v>14</v>
      </c>
      <c r="F2228">
        <v>2</v>
      </c>
      <c r="G2228">
        <v>1</v>
      </c>
      <c r="H2228">
        <v>2</v>
      </c>
    </row>
    <row r="2229" spans="1:8" x14ac:dyDescent="0.3">
      <c r="A2229">
        <v>5</v>
      </c>
      <c r="B2229">
        <v>1</v>
      </c>
      <c r="C2229">
        <v>2</v>
      </c>
      <c r="D2229">
        <v>2</v>
      </c>
      <c r="E2229" t="s">
        <v>14</v>
      </c>
      <c r="F2229">
        <v>1</v>
      </c>
      <c r="G2229">
        <v>2</v>
      </c>
      <c r="H2229">
        <v>2</v>
      </c>
    </row>
    <row r="2230" spans="1:8" x14ac:dyDescent="0.3">
      <c r="A2230">
        <v>5</v>
      </c>
      <c r="B2230">
        <v>2</v>
      </c>
      <c r="C2230">
        <v>1</v>
      </c>
      <c r="D2230">
        <v>2</v>
      </c>
      <c r="E2230" t="s">
        <v>14</v>
      </c>
      <c r="F2230">
        <v>0</v>
      </c>
      <c r="G2230">
        <v>2</v>
      </c>
      <c r="H2230">
        <v>3</v>
      </c>
    </row>
    <row r="2231" spans="1:8" x14ac:dyDescent="0.3">
      <c r="A2231">
        <v>5</v>
      </c>
      <c r="B2231">
        <v>2</v>
      </c>
      <c r="C2231">
        <v>2</v>
      </c>
      <c r="D2231">
        <v>1</v>
      </c>
      <c r="E2231" t="s">
        <v>14</v>
      </c>
      <c r="F2231">
        <v>2</v>
      </c>
      <c r="G2231">
        <v>2</v>
      </c>
      <c r="H2231">
        <v>1</v>
      </c>
    </row>
    <row r="2232" spans="1:8" x14ac:dyDescent="0.3">
      <c r="A2232">
        <v>6</v>
      </c>
      <c r="B2232">
        <v>1</v>
      </c>
      <c r="C2232">
        <v>2</v>
      </c>
      <c r="D2232">
        <v>3</v>
      </c>
      <c r="E2232" t="s">
        <v>14</v>
      </c>
      <c r="F2232">
        <v>1</v>
      </c>
      <c r="G2232">
        <v>2</v>
      </c>
      <c r="H2232">
        <v>3</v>
      </c>
    </row>
    <row r="2233" spans="1:8" x14ac:dyDescent="0.3">
      <c r="A2233">
        <v>6</v>
      </c>
      <c r="B2233">
        <v>2</v>
      </c>
      <c r="C2233">
        <v>3</v>
      </c>
      <c r="D2233">
        <v>1</v>
      </c>
      <c r="E2233" t="s">
        <v>14</v>
      </c>
      <c r="F2233">
        <v>2</v>
      </c>
      <c r="G2233">
        <v>3</v>
      </c>
      <c r="H2233">
        <v>1</v>
      </c>
    </row>
    <row r="2234" spans="1:8" x14ac:dyDescent="0.3">
      <c r="A2234">
        <v>7</v>
      </c>
      <c r="B2234">
        <v>2</v>
      </c>
      <c r="C2234">
        <v>2</v>
      </c>
      <c r="D2234">
        <v>3</v>
      </c>
      <c r="E2234" t="s">
        <v>14</v>
      </c>
      <c r="F2234">
        <v>2</v>
      </c>
      <c r="G2234">
        <v>2</v>
      </c>
      <c r="H2234">
        <v>3</v>
      </c>
    </row>
    <row r="2235" spans="1:8" x14ac:dyDescent="0.3">
      <c r="A2235">
        <v>7</v>
      </c>
      <c r="B2235">
        <v>2</v>
      </c>
      <c r="C2235">
        <v>2</v>
      </c>
      <c r="D2235">
        <v>3</v>
      </c>
      <c r="E2235" t="s">
        <v>14</v>
      </c>
      <c r="F2235">
        <v>2</v>
      </c>
      <c r="G2235">
        <v>2</v>
      </c>
      <c r="H2235">
        <v>3</v>
      </c>
    </row>
    <row r="2236" spans="1:8" x14ac:dyDescent="0.3">
      <c r="A2236">
        <v>7</v>
      </c>
      <c r="B2236">
        <v>3</v>
      </c>
      <c r="C2236">
        <v>2</v>
      </c>
      <c r="D2236">
        <v>2</v>
      </c>
      <c r="E2236" t="s">
        <v>14</v>
      </c>
      <c r="F2236">
        <v>3</v>
      </c>
      <c r="G2236">
        <v>2</v>
      </c>
      <c r="H2236">
        <v>2</v>
      </c>
    </row>
    <row r="2237" spans="1:8" x14ac:dyDescent="0.3">
      <c r="A2237">
        <v>7</v>
      </c>
      <c r="B2237">
        <v>3</v>
      </c>
      <c r="C2237">
        <v>2</v>
      </c>
      <c r="D2237">
        <v>2</v>
      </c>
      <c r="E2237" t="s">
        <v>14</v>
      </c>
      <c r="F2237">
        <v>3</v>
      </c>
      <c r="G2237">
        <v>2</v>
      </c>
      <c r="H2237">
        <v>2</v>
      </c>
    </row>
    <row r="2238" spans="1:8" x14ac:dyDescent="0.3">
      <c r="A2238">
        <v>7</v>
      </c>
      <c r="B2238">
        <v>2</v>
      </c>
      <c r="C2238">
        <v>2</v>
      </c>
      <c r="D2238">
        <v>3</v>
      </c>
      <c r="E2238" t="s">
        <v>14</v>
      </c>
      <c r="F2238">
        <v>2</v>
      </c>
      <c r="G2238">
        <v>2</v>
      </c>
      <c r="H2238">
        <v>3</v>
      </c>
    </row>
    <row r="2239" spans="1:8" x14ac:dyDescent="0.3">
      <c r="A2239">
        <v>8</v>
      </c>
      <c r="B2239">
        <v>2</v>
      </c>
      <c r="C2239">
        <v>3</v>
      </c>
      <c r="D2239">
        <v>3</v>
      </c>
      <c r="E2239" t="s">
        <v>14</v>
      </c>
      <c r="F2239">
        <v>2</v>
      </c>
      <c r="G2239">
        <v>3</v>
      </c>
      <c r="H2239">
        <v>3</v>
      </c>
    </row>
    <row r="2240" spans="1:8" x14ac:dyDescent="0.3">
      <c r="A2240">
        <v>8</v>
      </c>
      <c r="B2240">
        <v>3</v>
      </c>
      <c r="C2240">
        <v>2</v>
      </c>
      <c r="D2240">
        <v>3</v>
      </c>
      <c r="E2240" t="s">
        <v>14</v>
      </c>
      <c r="F2240">
        <v>3</v>
      </c>
      <c r="G2240">
        <v>2</v>
      </c>
      <c r="H2240">
        <v>3</v>
      </c>
    </row>
    <row r="2241" spans="1:8" x14ac:dyDescent="0.3">
      <c r="A2241">
        <v>2</v>
      </c>
      <c r="B2241">
        <v>1</v>
      </c>
      <c r="C2241">
        <v>1</v>
      </c>
      <c r="D2241">
        <v>0</v>
      </c>
      <c r="E2241" t="s">
        <v>14</v>
      </c>
      <c r="F2241">
        <v>0</v>
      </c>
      <c r="G2241">
        <v>0</v>
      </c>
      <c r="H2241">
        <v>2</v>
      </c>
    </row>
    <row r="2242" spans="1:8" x14ac:dyDescent="0.3">
      <c r="A2242">
        <v>2</v>
      </c>
      <c r="B2242">
        <v>0</v>
      </c>
      <c r="C2242">
        <v>1</v>
      </c>
      <c r="D2242">
        <v>1</v>
      </c>
      <c r="E2242" t="s">
        <v>14</v>
      </c>
      <c r="F2242">
        <v>0</v>
      </c>
      <c r="G2242">
        <v>1</v>
      </c>
      <c r="H2242">
        <v>1</v>
      </c>
    </row>
    <row r="2243" spans="1:8" x14ac:dyDescent="0.3">
      <c r="A2243">
        <v>2</v>
      </c>
      <c r="B2243">
        <v>0</v>
      </c>
      <c r="C2243">
        <v>1</v>
      </c>
      <c r="D2243">
        <v>1</v>
      </c>
      <c r="E2243" t="s">
        <v>14</v>
      </c>
      <c r="F2243">
        <v>2</v>
      </c>
      <c r="G2243">
        <v>0</v>
      </c>
      <c r="H2243">
        <v>0</v>
      </c>
    </row>
    <row r="2244" spans="1:8" x14ac:dyDescent="0.3">
      <c r="A2244">
        <v>2</v>
      </c>
      <c r="B2244">
        <v>0</v>
      </c>
      <c r="C2244">
        <v>1</v>
      </c>
      <c r="D2244">
        <v>1</v>
      </c>
      <c r="E2244" t="s">
        <v>14</v>
      </c>
      <c r="F2244">
        <v>0</v>
      </c>
      <c r="G2244">
        <v>0</v>
      </c>
      <c r="H2244">
        <v>2</v>
      </c>
    </row>
    <row r="2245" spans="1:8" x14ac:dyDescent="0.3">
      <c r="A2245">
        <v>2</v>
      </c>
      <c r="B2245">
        <v>1</v>
      </c>
      <c r="C2245">
        <v>1</v>
      </c>
      <c r="D2245">
        <v>0</v>
      </c>
      <c r="E2245" t="s">
        <v>14</v>
      </c>
      <c r="F2245">
        <v>2</v>
      </c>
      <c r="G2245">
        <v>0</v>
      </c>
      <c r="H2245">
        <v>0</v>
      </c>
    </row>
    <row r="2246" spans="1:8" x14ac:dyDescent="0.3">
      <c r="A2246">
        <v>3</v>
      </c>
      <c r="B2246">
        <v>1</v>
      </c>
      <c r="C2246">
        <v>1</v>
      </c>
      <c r="D2246">
        <v>1</v>
      </c>
      <c r="E2246" t="s">
        <v>14</v>
      </c>
      <c r="F2246">
        <v>0</v>
      </c>
      <c r="G2246">
        <v>2</v>
      </c>
      <c r="H2246">
        <v>1</v>
      </c>
    </row>
    <row r="2247" spans="1:8" x14ac:dyDescent="0.3">
      <c r="A2247">
        <v>3</v>
      </c>
      <c r="B2247">
        <v>1</v>
      </c>
      <c r="C2247">
        <v>1</v>
      </c>
      <c r="D2247">
        <v>1</v>
      </c>
      <c r="E2247" t="s">
        <v>14</v>
      </c>
      <c r="F2247">
        <v>1</v>
      </c>
      <c r="G2247">
        <v>0</v>
      </c>
      <c r="H2247">
        <v>2</v>
      </c>
    </row>
    <row r="2248" spans="1:8" x14ac:dyDescent="0.3">
      <c r="A2248">
        <v>3</v>
      </c>
      <c r="B2248">
        <v>1</v>
      </c>
      <c r="C2248">
        <v>0</v>
      </c>
      <c r="D2248">
        <v>2</v>
      </c>
      <c r="E2248" t="s">
        <v>14</v>
      </c>
      <c r="F2248">
        <v>1</v>
      </c>
      <c r="G2248">
        <v>0</v>
      </c>
      <c r="H2248">
        <v>2</v>
      </c>
    </row>
    <row r="2249" spans="1:8" x14ac:dyDescent="0.3">
      <c r="A2249">
        <v>3</v>
      </c>
      <c r="B2249">
        <v>1</v>
      </c>
      <c r="C2249">
        <v>1</v>
      </c>
      <c r="D2249">
        <v>1</v>
      </c>
      <c r="E2249" t="s">
        <v>14</v>
      </c>
      <c r="F2249">
        <v>1</v>
      </c>
      <c r="G2249">
        <v>1</v>
      </c>
      <c r="H2249">
        <v>1</v>
      </c>
    </row>
    <row r="2250" spans="1:8" x14ac:dyDescent="0.3">
      <c r="A2250">
        <v>3</v>
      </c>
      <c r="B2250">
        <v>2</v>
      </c>
      <c r="C2250">
        <v>1</v>
      </c>
      <c r="D2250">
        <v>0</v>
      </c>
      <c r="E2250" t="s">
        <v>14</v>
      </c>
      <c r="F2250">
        <v>2</v>
      </c>
      <c r="G2250">
        <v>1</v>
      </c>
      <c r="H2250">
        <v>0</v>
      </c>
    </row>
    <row r="2251" spans="1:8" x14ac:dyDescent="0.3">
      <c r="A2251">
        <v>3</v>
      </c>
      <c r="B2251">
        <v>0</v>
      </c>
      <c r="C2251">
        <v>2</v>
      </c>
      <c r="D2251">
        <v>1</v>
      </c>
      <c r="E2251" t="s">
        <v>14</v>
      </c>
      <c r="F2251">
        <v>2</v>
      </c>
      <c r="G2251">
        <v>1</v>
      </c>
      <c r="H2251">
        <v>0</v>
      </c>
    </row>
    <row r="2252" spans="1:8" x14ac:dyDescent="0.3">
      <c r="A2252">
        <v>3</v>
      </c>
      <c r="B2252">
        <v>1</v>
      </c>
      <c r="C2252">
        <v>1</v>
      </c>
      <c r="D2252">
        <v>1</v>
      </c>
      <c r="E2252" t="s">
        <v>14</v>
      </c>
      <c r="F2252">
        <v>1</v>
      </c>
      <c r="G2252">
        <v>1</v>
      </c>
      <c r="H2252">
        <v>1</v>
      </c>
    </row>
    <row r="2253" spans="1:8" x14ac:dyDescent="0.3">
      <c r="A2253">
        <v>3</v>
      </c>
      <c r="B2253">
        <v>0</v>
      </c>
      <c r="C2253">
        <v>2</v>
      </c>
      <c r="D2253">
        <v>1</v>
      </c>
      <c r="E2253" t="s">
        <v>14</v>
      </c>
      <c r="F2253">
        <v>0</v>
      </c>
      <c r="G2253">
        <v>2</v>
      </c>
      <c r="H2253">
        <v>1</v>
      </c>
    </row>
    <row r="2254" spans="1:8" x14ac:dyDescent="0.3">
      <c r="A2254">
        <v>3</v>
      </c>
      <c r="B2254">
        <v>1</v>
      </c>
      <c r="C2254">
        <v>1</v>
      </c>
      <c r="D2254">
        <v>1</v>
      </c>
      <c r="E2254" t="s">
        <v>14</v>
      </c>
      <c r="F2254">
        <v>1</v>
      </c>
      <c r="G2254">
        <v>1</v>
      </c>
      <c r="H2254">
        <v>1</v>
      </c>
    </row>
    <row r="2255" spans="1:8" x14ac:dyDescent="0.3">
      <c r="A2255">
        <v>3</v>
      </c>
      <c r="B2255">
        <v>1</v>
      </c>
      <c r="C2255">
        <v>1</v>
      </c>
      <c r="D2255">
        <v>1</v>
      </c>
      <c r="E2255" t="s">
        <v>14</v>
      </c>
      <c r="F2255">
        <v>1</v>
      </c>
      <c r="G2255">
        <v>1</v>
      </c>
      <c r="H2255">
        <v>1</v>
      </c>
    </row>
    <row r="2256" spans="1:8" x14ac:dyDescent="0.3">
      <c r="A2256">
        <v>3</v>
      </c>
      <c r="B2256">
        <v>2</v>
      </c>
      <c r="C2256">
        <v>1</v>
      </c>
      <c r="D2256">
        <v>0</v>
      </c>
      <c r="E2256" t="s">
        <v>14</v>
      </c>
      <c r="F2256">
        <v>1</v>
      </c>
      <c r="G2256">
        <v>0</v>
      </c>
      <c r="H2256">
        <v>2</v>
      </c>
    </row>
    <row r="2257" spans="1:8" x14ac:dyDescent="0.3">
      <c r="A2257">
        <v>3</v>
      </c>
      <c r="B2257">
        <v>1</v>
      </c>
      <c r="C2257">
        <v>1</v>
      </c>
      <c r="D2257">
        <v>1</v>
      </c>
      <c r="E2257" t="s">
        <v>14</v>
      </c>
      <c r="F2257">
        <v>1</v>
      </c>
      <c r="G2257">
        <v>1</v>
      </c>
      <c r="H2257">
        <v>1</v>
      </c>
    </row>
    <row r="2258" spans="1:8" x14ac:dyDescent="0.3">
      <c r="A2258">
        <v>3</v>
      </c>
      <c r="B2258">
        <v>1</v>
      </c>
      <c r="C2258">
        <v>1</v>
      </c>
      <c r="D2258">
        <v>1</v>
      </c>
      <c r="E2258" t="s">
        <v>14</v>
      </c>
      <c r="F2258">
        <v>1</v>
      </c>
      <c r="G2258">
        <v>0</v>
      </c>
      <c r="H2258">
        <v>2</v>
      </c>
    </row>
    <row r="2259" spans="1:8" x14ac:dyDescent="0.3">
      <c r="A2259">
        <v>3</v>
      </c>
      <c r="B2259">
        <v>0</v>
      </c>
      <c r="C2259">
        <v>2</v>
      </c>
      <c r="D2259">
        <v>1</v>
      </c>
      <c r="E2259" t="s">
        <v>14</v>
      </c>
      <c r="F2259">
        <v>2</v>
      </c>
      <c r="G2259">
        <v>1</v>
      </c>
      <c r="H2259">
        <v>0</v>
      </c>
    </row>
    <row r="2260" spans="1:8" x14ac:dyDescent="0.3">
      <c r="A2260">
        <v>3</v>
      </c>
      <c r="B2260">
        <v>1</v>
      </c>
      <c r="C2260">
        <v>1</v>
      </c>
      <c r="D2260">
        <v>1</v>
      </c>
      <c r="E2260" t="s">
        <v>14</v>
      </c>
      <c r="F2260">
        <v>1</v>
      </c>
      <c r="G2260">
        <v>1</v>
      </c>
      <c r="H2260">
        <v>1</v>
      </c>
    </row>
    <row r="2261" spans="1:8" x14ac:dyDescent="0.3">
      <c r="A2261">
        <v>3</v>
      </c>
      <c r="B2261">
        <v>1</v>
      </c>
      <c r="C2261">
        <v>0</v>
      </c>
      <c r="D2261">
        <v>2</v>
      </c>
      <c r="E2261" t="s">
        <v>14</v>
      </c>
      <c r="F2261">
        <v>0</v>
      </c>
      <c r="G2261">
        <v>2</v>
      </c>
      <c r="H2261">
        <v>1</v>
      </c>
    </row>
    <row r="2262" spans="1:8" x14ac:dyDescent="0.3">
      <c r="A2262">
        <v>3</v>
      </c>
      <c r="B2262">
        <v>1</v>
      </c>
      <c r="C2262">
        <v>1</v>
      </c>
      <c r="D2262">
        <v>1</v>
      </c>
      <c r="E2262" t="s">
        <v>14</v>
      </c>
      <c r="F2262">
        <v>1</v>
      </c>
      <c r="G2262">
        <v>1</v>
      </c>
      <c r="H2262">
        <v>1</v>
      </c>
    </row>
    <row r="2263" spans="1:8" x14ac:dyDescent="0.3">
      <c r="A2263">
        <v>3</v>
      </c>
      <c r="B2263">
        <v>1</v>
      </c>
      <c r="C2263">
        <v>1</v>
      </c>
      <c r="D2263">
        <v>1</v>
      </c>
      <c r="E2263" t="s">
        <v>14</v>
      </c>
      <c r="F2263">
        <v>2</v>
      </c>
      <c r="G2263">
        <v>1</v>
      </c>
      <c r="H2263">
        <v>0</v>
      </c>
    </row>
    <row r="2264" spans="1:8" x14ac:dyDescent="0.3">
      <c r="A2264">
        <v>3</v>
      </c>
      <c r="B2264">
        <v>1</v>
      </c>
      <c r="C2264">
        <v>1</v>
      </c>
      <c r="D2264">
        <v>1</v>
      </c>
      <c r="E2264" t="s">
        <v>14</v>
      </c>
      <c r="F2264">
        <v>0</v>
      </c>
      <c r="G2264">
        <v>2</v>
      </c>
      <c r="H2264">
        <v>1</v>
      </c>
    </row>
    <row r="2265" spans="1:8" x14ac:dyDescent="0.3">
      <c r="A2265">
        <v>3</v>
      </c>
      <c r="B2265">
        <v>1</v>
      </c>
      <c r="C2265">
        <v>1</v>
      </c>
      <c r="D2265">
        <v>1</v>
      </c>
      <c r="E2265" t="s">
        <v>14</v>
      </c>
      <c r="F2265">
        <v>1</v>
      </c>
      <c r="G2265">
        <v>1</v>
      </c>
      <c r="H2265">
        <v>1</v>
      </c>
    </row>
    <row r="2266" spans="1:8" x14ac:dyDescent="0.3">
      <c r="A2266">
        <v>3</v>
      </c>
      <c r="B2266">
        <v>1</v>
      </c>
      <c r="C2266">
        <v>1</v>
      </c>
      <c r="D2266">
        <v>1</v>
      </c>
      <c r="E2266" t="s">
        <v>14</v>
      </c>
      <c r="F2266">
        <v>1</v>
      </c>
      <c r="G2266">
        <v>1</v>
      </c>
      <c r="H2266">
        <v>1</v>
      </c>
    </row>
    <row r="2267" spans="1:8" x14ac:dyDescent="0.3">
      <c r="A2267">
        <v>3</v>
      </c>
      <c r="B2267">
        <v>1</v>
      </c>
      <c r="C2267">
        <v>1</v>
      </c>
      <c r="D2267">
        <v>1</v>
      </c>
      <c r="E2267" t="s">
        <v>14</v>
      </c>
      <c r="F2267">
        <v>1</v>
      </c>
      <c r="G2267">
        <v>1</v>
      </c>
      <c r="H2267">
        <v>1</v>
      </c>
    </row>
    <row r="2268" spans="1:8" x14ac:dyDescent="0.3">
      <c r="A2268">
        <v>3</v>
      </c>
      <c r="B2268">
        <v>2</v>
      </c>
      <c r="C2268">
        <v>1</v>
      </c>
      <c r="D2268">
        <v>0</v>
      </c>
      <c r="E2268" t="s">
        <v>14</v>
      </c>
      <c r="F2268">
        <v>0</v>
      </c>
      <c r="G2268">
        <v>2</v>
      </c>
      <c r="H2268">
        <v>1</v>
      </c>
    </row>
    <row r="2269" spans="1:8" x14ac:dyDescent="0.3">
      <c r="A2269">
        <v>3</v>
      </c>
      <c r="B2269">
        <v>1</v>
      </c>
      <c r="C2269">
        <v>0</v>
      </c>
      <c r="D2269">
        <v>2</v>
      </c>
      <c r="E2269" t="s">
        <v>14</v>
      </c>
      <c r="F2269">
        <v>0</v>
      </c>
      <c r="G2269">
        <v>2</v>
      </c>
      <c r="H2269">
        <v>1</v>
      </c>
    </row>
    <row r="2270" spans="1:8" x14ac:dyDescent="0.3">
      <c r="A2270">
        <v>3</v>
      </c>
      <c r="B2270">
        <v>2</v>
      </c>
      <c r="C2270">
        <v>1</v>
      </c>
      <c r="D2270">
        <v>0</v>
      </c>
      <c r="E2270" t="s">
        <v>14</v>
      </c>
      <c r="F2270">
        <v>1</v>
      </c>
      <c r="G2270">
        <v>0</v>
      </c>
      <c r="H2270">
        <v>2</v>
      </c>
    </row>
    <row r="2271" spans="1:8" x14ac:dyDescent="0.3">
      <c r="A2271">
        <v>3</v>
      </c>
      <c r="B2271">
        <v>1</v>
      </c>
      <c r="C2271">
        <v>1</v>
      </c>
      <c r="D2271">
        <v>1</v>
      </c>
      <c r="E2271" t="s">
        <v>14</v>
      </c>
      <c r="F2271">
        <v>1</v>
      </c>
      <c r="G2271">
        <v>1</v>
      </c>
      <c r="H2271">
        <v>1</v>
      </c>
    </row>
    <row r="2272" spans="1:8" x14ac:dyDescent="0.3">
      <c r="A2272">
        <v>3</v>
      </c>
      <c r="B2272">
        <v>0</v>
      </c>
      <c r="C2272">
        <v>2</v>
      </c>
      <c r="D2272">
        <v>1</v>
      </c>
      <c r="E2272" t="s">
        <v>14</v>
      </c>
      <c r="F2272">
        <v>2</v>
      </c>
      <c r="G2272">
        <v>1</v>
      </c>
      <c r="H2272">
        <v>0</v>
      </c>
    </row>
    <row r="2273" spans="1:8" x14ac:dyDescent="0.3">
      <c r="A2273">
        <v>3</v>
      </c>
      <c r="B2273">
        <v>0</v>
      </c>
      <c r="C2273">
        <v>2</v>
      </c>
      <c r="D2273">
        <v>1</v>
      </c>
      <c r="E2273" t="s">
        <v>14</v>
      </c>
      <c r="F2273">
        <v>1</v>
      </c>
      <c r="G2273">
        <v>0</v>
      </c>
      <c r="H2273">
        <v>2</v>
      </c>
    </row>
    <row r="2274" spans="1:8" x14ac:dyDescent="0.3">
      <c r="A2274">
        <v>3</v>
      </c>
      <c r="B2274">
        <v>1</v>
      </c>
      <c r="C2274">
        <v>1</v>
      </c>
      <c r="D2274">
        <v>1</v>
      </c>
      <c r="E2274" t="s">
        <v>14</v>
      </c>
      <c r="F2274">
        <v>2</v>
      </c>
      <c r="G2274">
        <v>1</v>
      </c>
      <c r="H2274">
        <v>0</v>
      </c>
    </row>
    <row r="2275" spans="1:8" x14ac:dyDescent="0.3">
      <c r="A2275">
        <v>3</v>
      </c>
      <c r="B2275">
        <v>1</v>
      </c>
      <c r="C2275">
        <v>1</v>
      </c>
      <c r="D2275">
        <v>1</v>
      </c>
      <c r="E2275" t="s">
        <v>14</v>
      </c>
      <c r="F2275">
        <v>1</v>
      </c>
      <c r="G2275">
        <v>1</v>
      </c>
      <c r="H2275">
        <v>1</v>
      </c>
    </row>
    <row r="2276" spans="1:8" x14ac:dyDescent="0.3">
      <c r="A2276">
        <v>3</v>
      </c>
      <c r="B2276">
        <v>1</v>
      </c>
      <c r="C2276">
        <v>1</v>
      </c>
      <c r="D2276">
        <v>1</v>
      </c>
      <c r="E2276" t="s">
        <v>14</v>
      </c>
      <c r="F2276">
        <v>1</v>
      </c>
      <c r="G2276">
        <v>1</v>
      </c>
      <c r="H2276">
        <v>1</v>
      </c>
    </row>
    <row r="2277" spans="1:8" x14ac:dyDescent="0.3">
      <c r="A2277">
        <v>3</v>
      </c>
      <c r="B2277">
        <v>1</v>
      </c>
      <c r="C2277">
        <v>1</v>
      </c>
      <c r="D2277">
        <v>1</v>
      </c>
      <c r="E2277" t="s">
        <v>14</v>
      </c>
      <c r="F2277">
        <v>1</v>
      </c>
      <c r="G2277">
        <v>1</v>
      </c>
      <c r="H2277">
        <v>1</v>
      </c>
    </row>
    <row r="2278" spans="1:8" x14ac:dyDescent="0.3">
      <c r="A2278">
        <v>3</v>
      </c>
      <c r="B2278">
        <v>1</v>
      </c>
      <c r="C2278">
        <v>1</v>
      </c>
      <c r="D2278">
        <v>1</v>
      </c>
      <c r="E2278" t="s">
        <v>14</v>
      </c>
      <c r="F2278">
        <v>0</v>
      </c>
      <c r="G2278">
        <v>2</v>
      </c>
      <c r="H2278">
        <v>1</v>
      </c>
    </row>
    <row r="2279" spans="1:8" x14ac:dyDescent="0.3">
      <c r="A2279">
        <v>3</v>
      </c>
      <c r="B2279">
        <v>1</v>
      </c>
      <c r="C2279">
        <v>1</v>
      </c>
      <c r="D2279">
        <v>1</v>
      </c>
      <c r="E2279" t="s">
        <v>14</v>
      </c>
      <c r="F2279">
        <v>1</v>
      </c>
      <c r="G2279">
        <v>1</v>
      </c>
      <c r="H2279">
        <v>1</v>
      </c>
    </row>
    <row r="2280" spans="1:8" x14ac:dyDescent="0.3">
      <c r="A2280">
        <v>3</v>
      </c>
      <c r="B2280">
        <v>1</v>
      </c>
      <c r="C2280">
        <v>1</v>
      </c>
      <c r="D2280">
        <v>1</v>
      </c>
      <c r="E2280" t="s">
        <v>14</v>
      </c>
      <c r="F2280">
        <v>1</v>
      </c>
      <c r="G2280">
        <v>1</v>
      </c>
      <c r="H2280">
        <v>1</v>
      </c>
    </row>
    <row r="2281" spans="1:8" x14ac:dyDescent="0.3">
      <c r="A2281">
        <v>3</v>
      </c>
      <c r="B2281">
        <v>1</v>
      </c>
      <c r="C2281">
        <v>1</v>
      </c>
      <c r="D2281">
        <v>1</v>
      </c>
      <c r="E2281" t="s">
        <v>14</v>
      </c>
      <c r="F2281">
        <v>1</v>
      </c>
      <c r="G2281">
        <v>1</v>
      </c>
      <c r="H2281">
        <v>1</v>
      </c>
    </row>
    <row r="2282" spans="1:8" x14ac:dyDescent="0.3">
      <c r="A2282">
        <v>3</v>
      </c>
      <c r="B2282">
        <v>1</v>
      </c>
      <c r="C2282">
        <v>1</v>
      </c>
      <c r="D2282">
        <v>1</v>
      </c>
      <c r="E2282" t="s">
        <v>14</v>
      </c>
      <c r="F2282">
        <v>1</v>
      </c>
      <c r="G2282">
        <v>1</v>
      </c>
      <c r="H2282">
        <v>1</v>
      </c>
    </row>
    <row r="2283" spans="1:8" x14ac:dyDescent="0.3">
      <c r="A2283">
        <v>3</v>
      </c>
      <c r="B2283">
        <v>2</v>
      </c>
      <c r="C2283">
        <v>1</v>
      </c>
      <c r="D2283">
        <v>0</v>
      </c>
      <c r="E2283" t="s">
        <v>14</v>
      </c>
      <c r="F2283">
        <v>2</v>
      </c>
      <c r="G2283">
        <v>1</v>
      </c>
      <c r="H2283">
        <v>0</v>
      </c>
    </row>
    <row r="2284" spans="1:8" x14ac:dyDescent="0.3">
      <c r="A2284">
        <v>3</v>
      </c>
      <c r="B2284">
        <v>2</v>
      </c>
      <c r="C2284">
        <v>1</v>
      </c>
      <c r="D2284">
        <v>0</v>
      </c>
      <c r="E2284" t="s">
        <v>14</v>
      </c>
      <c r="F2284">
        <v>2</v>
      </c>
      <c r="G2284">
        <v>1</v>
      </c>
      <c r="H2284">
        <v>0</v>
      </c>
    </row>
    <row r="2285" spans="1:8" x14ac:dyDescent="0.3">
      <c r="A2285">
        <v>3</v>
      </c>
      <c r="B2285">
        <v>1</v>
      </c>
      <c r="C2285">
        <v>1</v>
      </c>
      <c r="D2285">
        <v>1</v>
      </c>
      <c r="E2285" t="s">
        <v>14</v>
      </c>
      <c r="F2285">
        <v>2</v>
      </c>
      <c r="G2285">
        <v>1</v>
      </c>
      <c r="H2285">
        <v>0</v>
      </c>
    </row>
    <row r="2286" spans="1:8" x14ac:dyDescent="0.3">
      <c r="A2286">
        <v>3</v>
      </c>
      <c r="B2286">
        <v>0</v>
      </c>
      <c r="C2286">
        <v>2</v>
      </c>
      <c r="D2286">
        <v>1</v>
      </c>
      <c r="E2286" t="s">
        <v>14</v>
      </c>
      <c r="F2286">
        <v>2</v>
      </c>
      <c r="G2286">
        <v>1</v>
      </c>
      <c r="H2286">
        <v>0</v>
      </c>
    </row>
    <row r="2287" spans="1:8" x14ac:dyDescent="0.3">
      <c r="A2287">
        <v>4</v>
      </c>
      <c r="B2287">
        <v>1</v>
      </c>
      <c r="C2287">
        <v>2</v>
      </c>
      <c r="D2287">
        <v>1</v>
      </c>
      <c r="E2287" t="s">
        <v>14</v>
      </c>
      <c r="F2287">
        <v>1</v>
      </c>
      <c r="G2287">
        <v>2</v>
      </c>
      <c r="H2287">
        <v>1</v>
      </c>
    </row>
    <row r="2288" spans="1:8" x14ac:dyDescent="0.3">
      <c r="A2288">
        <v>4</v>
      </c>
      <c r="B2288">
        <v>1</v>
      </c>
      <c r="C2288">
        <v>2</v>
      </c>
      <c r="D2288">
        <v>1</v>
      </c>
      <c r="E2288" t="s">
        <v>14</v>
      </c>
      <c r="F2288">
        <v>1</v>
      </c>
      <c r="G2288">
        <v>2</v>
      </c>
      <c r="H2288">
        <v>1</v>
      </c>
    </row>
    <row r="2289" spans="1:8" x14ac:dyDescent="0.3">
      <c r="A2289">
        <v>4</v>
      </c>
      <c r="B2289">
        <v>2</v>
      </c>
      <c r="C2289">
        <v>1</v>
      </c>
      <c r="D2289">
        <v>1</v>
      </c>
      <c r="E2289" t="s">
        <v>14</v>
      </c>
      <c r="F2289">
        <v>2</v>
      </c>
      <c r="G2289">
        <v>1</v>
      </c>
      <c r="H2289">
        <v>1</v>
      </c>
    </row>
    <row r="2290" spans="1:8" x14ac:dyDescent="0.3">
      <c r="A2290">
        <v>4</v>
      </c>
      <c r="B2290">
        <v>1</v>
      </c>
      <c r="C2290">
        <v>1</v>
      </c>
      <c r="D2290">
        <v>2</v>
      </c>
      <c r="E2290" t="s">
        <v>14</v>
      </c>
      <c r="F2290">
        <v>1</v>
      </c>
      <c r="G2290">
        <v>1</v>
      </c>
      <c r="H2290">
        <v>2</v>
      </c>
    </row>
    <row r="2291" spans="1:8" x14ac:dyDescent="0.3">
      <c r="A2291">
        <v>4</v>
      </c>
      <c r="B2291">
        <v>2</v>
      </c>
      <c r="C2291">
        <v>1</v>
      </c>
      <c r="D2291">
        <v>1</v>
      </c>
      <c r="E2291" t="s">
        <v>14</v>
      </c>
      <c r="F2291">
        <v>2</v>
      </c>
      <c r="G2291">
        <v>0</v>
      </c>
      <c r="H2291">
        <v>2</v>
      </c>
    </row>
    <row r="2292" spans="1:8" x14ac:dyDescent="0.3">
      <c r="A2292">
        <v>4</v>
      </c>
      <c r="B2292">
        <v>2</v>
      </c>
      <c r="C2292">
        <v>1</v>
      </c>
      <c r="D2292">
        <v>1</v>
      </c>
      <c r="E2292" t="s">
        <v>14</v>
      </c>
      <c r="F2292">
        <v>2</v>
      </c>
      <c r="G2292">
        <v>1</v>
      </c>
      <c r="H2292">
        <v>1</v>
      </c>
    </row>
    <row r="2293" spans="1:8" x14ac:dyDescent="0.3">
      <c r="A2293">
        <v>4</v>
      </c>
      <c r="B2293">
        <v>2</v>
      </c>
      <c r="C2293">
        <v>1</v>
      </c>
      <c r="D2293">
        <v>1</v>
      </c>
      <c r="E2293" t="s">
        <v>14</v>
      </c>
      <c r="F2293">
        <v>2</v>
      </c>
      <c r="G2293">
        <v>1</v>
      </c>
      <c r="H2293">
        <v>1</v>
      </c>
    </row>
    <row r="2294" spans="1:8" x14ac:dyDescent="0.3">
      <c r="A2294">
        <v>4</v>
      </c>
      <c r="B2294">
        <v>1</v>
      </c>
      <c r="C2294">
        <v>2</v>
      </c>
      <c r="D2294">
        <v>1</v>
      </c>
      <c r="E2294" t="s">
        <v>14</v>
      </c>
      <c r="F2294">
        <v>1</v>
      </c>
      <c r="G2294">
        <v>2</v>
      </c>
      <c r="H2294">
        <v>1</v>
      </c>
    </row>
    <row r="2295" spans="1:8" x14ac:dyDescent="0.3">
      <c r="A2295">
        <v>4</v>
      </c>
      <c r="B2295">
        <v>1</v>
      </c>
      <c r="C2295">
        <v>1</v>
      </c>
      <c r="D2295">
        <v>2</v>
      </c>
      <c r="E2295" t="s">
        <v>14</v>
      </c>
      <c r="F2295">
        <v>1</v>
      </c>
      <c r="G2295">
        <v>1</v>
      </c>
      <c r="H2295">
        <v>2</v>
      </c>
    </row>
    <row r="2296" spans="1:8" x14ac:dyDescent="0.3">
      <c r="A2296">
        <v>5</v>
      </c>
      <c r="B2296">
        <v>1</v>
      </c>
      <c r="C2296">
        <v>2</v>
      </c>
      <c r="D2296">
        <v>2</v>
      </c>
      <c r="E2296" t="s">
        <v>14</v>
      </c>
      <c r="F2296">
        <v>1</v>
      </c>
      <c r="G2296">
        <v>2</v>
      </c>
      <c r="H2296">
        <v>2</v>
      </c>
    </row>
    <row r="2297" spans="1:8" x14ac:dyDescent="0.3">
      <c r="A2297">
        <v>5</v>
      </c>
      <c r="B2297">
        <v>1</v>
      </c>
      <c r="C2297">
        <v>2</v>
      </c>
      <c r="D2297">
        <v>2</v>
      </c>
      <c r="E2297" t="s">
        <v>14</v>
      </c>
      <c r="F2297">
        <v>1</v>
      </c>
      <c r="G2297">
        <v>2</v>
      </c>
      <c r="H2297">
        <v>2</v>
      </c>
    </row>
    <row r="2298" spans="1:8" x14ac:dyDescent="0.3">
      <c r="A2298">
        <v>5</v>
      </c>
      <c r="B2298">
        <v>2</v>
      </c>
      <c r="C2298">
        <v>1</v>
      </c>
      <c r="D2298">
        <v>2</v>
      </c>
      <c r="E2298" t="s">
        <v>14</v>
      </c>
      <c r="F2298">
        <v>2</v>
      </c>
      <c r="G2298">
        <v>1</v>
      </c>
      <c r="H2298">
        <v>2</v>
      </c>
    </row>
    <row r="2299" spans="1:8" x14ac:dyDescent="0.3">
      <c r="A2299">
        <v>5</v>
      </c>
      <c r="B2299">
        <v>1</v>
      </c>
      <c r="C2299">
        <v>2</v>
      </c>
      <c r="D2299">
        <v>2</v>
      </c>
      <c r="E2299" t="s">
        <v>14</v>
      </c>
      <c r="F2299">
        <v>1</v>
      </c>
      <c r="G2299">
        <v>2</v>
      </c>
      <c r="H2299">
        <v>2</v>
      </c>
    </row>
    <row r="2300" spans="1:8" x14ac:dyDescent="0.3">
      <c r="A2300">
        <v>6</v>
      </c>
      <c r="B2300">
        <v>2</v>
      </c>
      <c r="C2300">
        <v>3</v>
      </c>
      <c r="D2300">
        <v>1</v>
      </c>
      <c r="E2300" t="s">
        <v>14</v>
      </c>
      <c r="F2300">
        <v>2</v>
      </c>
      <c r="G2300">
        <v>3</v>
      </c>
      <c r="H2300">
        <v>1</v>
      </c>
    </row>
    <row r="2301" spans="1:8" x14ac:dyDescent="0.3">
      <c r="A2301">
        <v>6</v>
      </c>
      <c r="B2301">
        <v>2</v>
      </c>
      <c r="C2301">
        <v>2</v>
      </c>
      <c r="D2301">
        <v>2</v>
      </c>
      <c r="E2301" t="s">
        <v>14</v>
      </c>
      <c r="F2301">
        <v>2</v>
      </c>
      <c r="G2301">
        <v>2</v>
      </c>
      <c r="H2301">
        <v>2</v>
      </c>
    </row>
    <row r="2302" spans="1:8" x14ac:dyDescent="0.3">
      <c r="A2302">
        <v>6</v>
      </c>
      <c r="B2302">
        <v>1</v>
      </c>
      <c r="C2302">
        <v>2</v>
      </c>
      <c r="D2302">
        <v>3</v>
      </c>
      <c r="E2302" t="s">
        <v>14</v>
      </c>
      <c r="F2302">
        <v>1</v>
      </c>
      <c r="G2302">
        <v>2</v>
      </c>
      <c r="H2302">
        <v>3</v>
      </c>
    </row>
    <row r="2303" spans="1:8" x14ac:dyDescent="0.3">
      <c r="A2303">
        <v>6</v>
      </c>
      <c r="B2303">
        <v>2</v>
      </c>
      <c r="C2303">
        <v>3</v>
      </c>
      <c r="D2303">
        <v>1</v>
      </c>
      <c r="E2303" t="s">
        <v>14</v>
      </c>
      <c r="F2303">
        <v>2</v>
      </c>
      <c r="G2303">
        <v>3</v>
      </c>
      <c r="H2303">
        <v>1</v>
      </c>
    </row>
    <row r="2304" spans="1:8" x14ac:dyDescent="0.3">
      <c r="A2304">
        <v>6</v>
      </c>
      <c r="B2304">
        <v>3</v>
      </c>
      <c r="C2304">
        <v>1</v>
      </c>
      <c r="D2304">
        <v>2</v>
      </c>
      <c r="E2304" t="s">
        <v>14</v>
      </c>
      <c r="F2304">
        <v>3</v>
      </c>
      <c r="G2304">
        <v>1</v>
      </c>
      <c r="H2304">
        <v>2</v>
      </c>
    </row>
    <row r="2305" spans="1:8" x14ac:dyDescent="0.3">
      <c r="A2305">
        <v>7</v>
      </c>
      <c r="B2305">
        <v>2</v>
      </c>
      <c r="C2305">
        <v>2</v>
      </c>
      <c r="D2305">
        <v>3</v>
      </c>
      <c r="E2305" t="s">
        <v>14</v>
      </c>
      <c r="F2305">
        <v>2</v>
      </c>
      <c r="G2305">
        <v>2</v>
      </c>
      <c r="H2305">
        <v>3</v>
      </c>
    </row>
    <row r="2306" spans="1:8" x14ac:dyDescent="0.3">
      <c r="A2306">
        <v>8</v>
      </c>
      <c r="B2306">
        <v>2</v>
      </c>
      <c r="C2306">
        <v>3</v>
      </c>
      <c r="D2306">
        <v>3</v>
      </c>
      <c r="E2306" t="s">
        <v>14</v>
      </c>
      <c r="F2306">
        <v>2</v>
      </c>
      <c r="G2306">
        <v>3</v>
      </c>
      <c r="H2306">
        <v>3</v>
      </c>
    </row>
    <row r="2307" spans="1:8" x14ac:dyDescent="0.3">
      <c r="A2307">
        <v>8</v>
      </c>
      <c r="B2307">
        <v>2</v>
      </c>
      <c r="C2307">
        <v>3</v>
      </c>
      <c r="D2307">
        <v>3</v>
      </c>
      <c r="E2307" t="s">
        <v>14</v>
      </c>
      <c r="F2307">
        <v>2</v>
      </c>
      <c r="G2307">
        <v>3</v>
      </c>
      <c r="H2307">
        <v>3</v>
      </c>
    </row>
    <row r="2308" spans="1:8" x14ac:dyDescent="0.3">
      <c r="A2308">
        <v>8</v>
      </c>
      <c r="B2308">
        <v>3</v>
      </c>
      <c r="C2308">
        <v>2</v>
      </c>
      <c r="D2308">
        <v>3</v>
      </c>
      <c r="E2308" t="s">
        <v>14</v>
      </c>
      <c r="F2308">
        <v>3</v>
      </c>
      <c r="G2308">
        <v>2</v>
      </c>
      <c r="H2308">
        <v>3</v>
      </c>
    </row>
    <row r="2309" spans="1:8" x14ac:dyDescent="0.3">
      <c r="A2309">
        <v>8</v>
      </c>
      <c r="B2309">
        <v>2</v>
      </c>
      <c r="C2309">
        <v>3</v>
      </c>
      <c r="D2309">
        <v>3</v>
      </c>
      <c r="E2309" t="s">
        <v>14</v>
      </c>
      <c r="F2309">
        <v>2</v>
      </c>
      <c r="G2309">
        <v>3</v>
      </c>
      <c r="H2309">
        <v>3</v>
      </c>
    </row>
    <row r="2310" spans="1:8" x14ac:dyDescent="0.3">
      <c r="A2310">
        <v>8</v>
      </c>
      <c r="B2310">
        <v>3</v>
      </c>
      <c r="C2310">
        <v>3</v>
      </c>
      <c r="D2310">
        <v>2</v>
      </c>
      <c r="E2310" t="s">
        <v>14</v>
      </c>
      <c r="F2310">
        <v>3</v>
      </c>
      <c r="G2310">
        <v>3</v>
      </c>
      <c r="H2310">
        <v>2</v>
      </c>
    </row>
    <row r="2311" spans="1:8" x14ac:dyDescent="0.3">
      <c r="A2311">
        <v>2</v>
      </c>
      <c r="B2311">
        <v>1</v>
      </c>
      <c r="C2311">
        <v>1</v>
      </c>
      <c r="D2311">
        <v>0</v>
      </c>
      <c r="E2311" t="s">
        <v>14</v>
      </c>
      <c r="F2311">
        <v>0</v>
      </c>
      <c r="G2311">
        <v>0</v>
      </c>
      <c r="H2311">
        <v>2</v>
      </c>
    </row>
    <row r="2312" spans="1:8" x14ac:dyDescent="0.3">
      <c r="A2312">
        <v>2</v>
      </c>
      <c r="B2312">
        <v>1</v>
      </c>
      <c r="C2312">
        <v>0</v>
      </c>
      <c r="D2312">
        <v>1</v>
      </c>
      <c r="E2312" t="s">
        <v>14</v>
      </c>
      <c r="F2312">
        <v>1</v>
      </c>
      <c r="G2312">
        <v>0</v>
      </c>
      <c r="H2312">
        <v>1</v>
      </c>
    </row>
    <row r="2313" spans="1:8" x14ac:dyDescent="0.3">
      <c r="A2313">
        <v>2</v>
      </c>
      <c r="B2313">
        <v>1</v>
      </c>
      <c r="C2313">
        <v>0</v>
      </c>
      <c r="D2313">
        <v>1</v>
      </c>
      <c r="E2313" t="s">
        <v>14</v>
      </c>
      <c r="F2313">
        <v>0</v>
      </c>
      <c r="G2313">
        <v>2</v>
      </c>
      <c r="H2313">
        <v>0</v>
      </c>
    </row>
    <row r="2314" spans="1:8" x14ac:dyDescent="0.3">
      <c r="A2314">
        <v>2</v>
      </c>
      <c r="B2314">
        <v>0</v>
      </c>
      <c r="C2314">
        <v>1</v>
      </c>
      <c r="D2314">
        <v>1</v>
      </c>
      <c r="E2314" t="s">
        <v>14</v>
      </c>
      <c r="F2314">
        <v>0</v>
      </c>
      <c r="G2314">
        <v>1</v>
      </c>
      <c r="H2314">
        <v>1</v>
      </c>
    </row>
    <row r="2315" spans="1:8" x14ac:dyDescent="0.3">
      <c r="A2315">
        <v>2</v>
      </c>
      <c r="B2315">
        <v>1</v>
      </c>
      <c r="C2315">
        <v>1</v>
      </c>
      <c r="D2315">
        <v>0</v>
      </c>
      <c r="E2315" t="s">
        <v>14</v>
      </c>
      <c r="F2315">
        <v>0</v>
      </c>
      <c r="G2315">
        <v>0</v>
      </c>
      <c r="H2315">
        <v>2</v>
      </c>
    </row>
    <row r="2316" spans="1:8" x14ac:dyDescent="0.3">
      <c r="A2316">
        <v>3</v>
      </c>
      <c r="B2316">
        <v>1</v>
      </c>
      <c r="C2316">
        <v>1</v>
      </c>
      <c r="D2316">
        <v>1</v>
      </c>
      <c r="E2316" t="s">
        <v>14</v>
      </c>
      <c r="F2316">
        <v>1</v>
      </c>
      <c r="G2316">
        <v>0</v>
      </c>
      <c r="H2316">
        <v>2</v>
      </c>
    </row>
    <row r="2317" spans="1:8" x14ac:dyDescent="0.3">
      <c r="A2317">
        <v>3</v>
      </c>
      <c r="B2317">
        <v>1</v>
      </c>
      <c r="C2317">
        <v>1</v>
      </c>
      <c r="D2317">
        <v>1</v>
      </c>
      <c r="E2317" t="s">
        <v>14</v>
      </c>
      <c r="F2317">
        <v>1</v>
      </c>
      <c r="G2317">
        <v>0</v>
      </c>
      <c r="H2317">
        <v>2</v>
      </c>
    </row>
    <row r="2318" spans="1:8" x14ac:dyDescent="0.3">
      <c r="A2318">
        <v>3</v>
      </c>
      <c r="B2318">
        <v>1</v>
      </c>
      <c r="C2318">
        <v>1</v>
      </c>
      <c r="D2318">
        <v>1</v>
      </c>
      <c r="E2318" t="s">
        <v>14</v>
      </c>
      <c r="F2318">
        <v>0</v>
      </c>
      <c r="G2318">
        <v>2</v>
      </c>
      <c r="H2318">
        <v>1</v>
      </c>
    </row>
    <row r="2319" spans="1:8" x14ac:dyDescent="0.3">
      <c r="A2319">
        <v>3</v>
      </c>
      <c r="B2319">
        <v>1</v>
      </c>
      <c r="C2319">
        <v>1</v>
      </c>
      <c r="D2319">
        <v>1</v>
      </c>
      <c r="E2319" t="s">
        <v>14</v>
      </c>
      <c r="F2319">
        <v>2</v>
      </c>
      <c r="G2319">
        <v>1</v>
      </c>
      <c r="H2319">
        <v>0</v>
      </c>
    </row>
    <row r="2320" spans="1:8" x14ac:dyDescent="0.3">
      <c r="A2320">
        <v>3</v>
      </c>
      <c r="B2320">
        <v>1</v>
      </c>
      <c r="C2320">
        <v>1</v>
      </c>
      <c r="D2320">
        <v>1</v>
      </c>
      <c r="E2320" t="s">
        <v>14</v>
      </c>
      <c r="F2320">
        <v>1</v>
      </c>
      <c r="G2320">
        <v>1</v>
      </c>
      <c r="H2320">
        <v>1</v>
      </c>
    </row>
    <row r="2321" spans="1:8" x14ac:dyDescent="0.3">
      <c r="A2321">
        <v>3</v>
      </c>
      <c r="B2321">
        <v>1</v>
      </c>
      <c r="C2321">
        <v>1</v>
      </c>
      <c r="D2321">
        <v>1</v>
      </c>
      <c r="E2321" t="s">
        <v>14</v>
      </c>
      <c r="F2321">
        <v>1</v>
      </c>
      <c r="G2321">
        <v>1</v>
      </c>
      <c r="H2321">
        <v>1</v>
      </c>
    </row>
    <row r="2322" spans="1:8" x14ac:dyDescent="0.3">
      <c r="A2322">
        <v>3</v>
      </c>
      <c r="B2322">
        <v>1</v>
      </c>
      <c r="C2322">
        <v>1</v>
      </c>
      <c r="D2322">
        <v>1</v>
      </c>
      <c r="E2322" t="s">
        <v>14</v>
      </c>
      <c r="F2322">
        <v>1</v>
      </c>
      <c r="G2322">
        <v>1</v>
      </c>
      <c r="H2322">
        <v>1</v>
      </c>
    </row>
    <row r="2323" spans="1:8" x14ac:dyDescent="0.3">
      <c r="A2323">
        <v>3</v>
      </c>
      <c r="B2323">
        <v>1</v>
      </c>
      <c r="C2323">
        <v>1</v>
      </c>
      <c r="D2323">
        <v>1</v>
      </c>
      <c r="E2323" t="s">
        <v>14</v>
      </c>
      <c r="F2323">
        <v>1</v>
      </c>
      <c r="G2323">
        <v>1</v>
      </c>
      <c r="H2323">
        <v>1</v>
      </c>
    </row>
    <row r="2324" spans="1:8" x14ac:dyDescent="0.3">
      <c r="A2324">
        <v>3</v>
      </c>
      <c r="B2324">
        <v>2</v>
      </c>
      <c r="C2324">
        <v>1</v>
      </c>
      <c r="D2324">
        <v>0</v>
      </c>
      <c r="E2324" t="s">
        <v>14</v>
      </c>
      <c r="F2324">
        <v>2</v>
      </c>
      <c r="G2324">
        <v>1</v>
      </c>
      <c r="H2324">
        <v>0</v>
      </c>
    </row>
    <row r="2325" spans="1:8" x14ac:dyDescent="0.3">
      <c r="A2325">
        <v>3</v>
      </c>
      <c r="B2325">
        <v>1</v>
      </c>
      <c r="C2325">
        <v>1</v>
      </c>
      <c r="D2325">
        <v>1</v>
      </c>
      <c r="E2325" t="s">
        <v>14</v>
      </c>
      <c r="F2325">
        <v>1</v>
      </c>
      <c r="G2325">
        <v>0</v>
      </c>
      <c r="H2325">
        <v>2</v>
      </c>
    </row>
    <row r="2326" spans="1:8" x14ac:dyDescent="0.3">
      <c r="A2326">
        <v>3</v>
      </c>
      <c r="B2326">
        <v>0</v>
      </c>
      <c r="C2326">
        <v>2</v>
      </c>
      <c r="D2326">
        <v>1</v>
      </c>
      <c r="E2326" t="s">
        <v>14</v>
      </c>
      <c r="F2326">
        <v>0</v>
      </c>
      <c r="G2326">
        <v>2</v>
      </c>
      <c r="H2326">
        <v>1</v>
      </c>
    </row>
    <row r="2327" spans="1:8" x14ac:dyDescent="0.3">
      <c r="A2327">
        <v>3</v>
      </c>
      <c r="B2327">
        <v>1</v>
      </c>
      <c r="C2327">
        <v>1</v>
      </c>
      <c r="D2327">
        <v>1</v>
      </c>
      <c r="E2327" t="s">
        <v>14</v>
      </c>
      <c r="F2327">
        <v>1</v>
      </c>
      <c r="G2327">
        <v>1</v>
      </c>
      <c r="H2327">
        <v>1</v>
      </c>
    </row>
    <row r="2328" spans="1:8" x14ac:dyDescent="0.3">
      <c r="A2328">
        <v>3</v>
      </c>
      <c r="B2328">
        <v>1</v>
      </c>
      <c r="C2328">
        <v>1</v>
      </c>
      <c r="D2328">
        <v>1</v>
      </c>
      <c r="E2328" t="s">
        <v>14</v>
      </c>
      <c r="F2328">
        <v>1</v>
      </c>
      <c r="G2328">
        <v>1</v>
      </c>
      <c r="H2328">
        <v>1</v>
      </c>
    </row>
    <row r="2329" spans="1:8" x14ac:dyDescent="0.3">
      <c r="A2329">
        <v>3</v>
      </c>
      <c r="B2329">
        <v>1</v>
      </c>
      <c r="C2329">
        <v>1</v>
      </c>
      <c r="D2329">
        <v>1</v>
      </c>
      <c r="E2329" t="s">
        <v>14</v>
      </c>
      <c r="F2329">
        <v>0</v>
      </c>
      <c r="G2329">
        <v>2</v>
      </c>
      <c r="H2329">
        <v>1</v>
      </c>
    </row>
    <row r="2330" spans="1:8" x14ac:dyDescent="0.3">
      <c r="A2330">
        <v>3</v>
      </c>
      <c r="B2330">
        <v>1</v>
      </c>
      <c r="C2330">
        <v>1</v>
      </c>
      <c r="D2330">
        <v>1</v>
      </c>
      <c r="E2330" t="s">
        <v>14</v>
      </c>
      <c r="F2330">
        <v>0</v>
      </c>
      <c r="G2330">
        <v>2</v>
      </c>
      <c r="H2330">
        <v>1</v>
      </c>
    </row>
    <row r="2331" spans="1:8" x14ac:dyDescent="0.3">
      <c r="A2331">
        <v>3</v>
      </c>
      <c r="B2331">
        <v>0</v>
      </c>
      <c r="C2331">
        <v>2</v>
      </c>
      <c r="D2331">
        <v>1</v>
      </c>
      <c r="E2331" t="s">
        <v>14</v>
      </c>
      <c r="F2331">
        <v>0</v>
      </c>
      <c r="G2331">
        <v>2</v>
      </c>
      <c r="H2331">
        <v>1</v>
      </c>
    </row>
    <row r="2332" spans="1:8" x14ac:dyDescent="0.3">
      <c r="A2332">
        <v>3</v>
      </c>
      <c r="B2332">
        <v>1</v>
      </c>
      <c r="C2332">
        <v>1</v>
      </c>
      <c r="D2332">
        <v>1</v>
      </c>
      <c r="E2332" t="s">
        <v>14</v>
      </c>
      <c r="F2332">
        <v>1</v>
      </c>
      <c r="G2332">
        <v>1</v>
      </c>
      <c r="H2332">
        <v>1</v>
      </c>
    </row>
    <row r="2333" spans="1:8" x14ac:dyDescent="0.3">
      <c r="A2333">
        <v>3</v>
      </c>
      <c r="B2333">
        <v>0</v>
      </c>
      <c r="C2333">
        <v>2</v>
      </c>
      <c r="D2333">
        <v>1</v>
      </c>
      <c r="E2333" t="s">
        <v>14</v>
      </c>
      <c r="F2333">
        <v>0</v>
      </c>
      <c r="G2333">
        <v>2</v>
      </c>
      <c r="H2333">
        <v>1</v>
      </c>
    </row>
    <row r="2334" spans="1:8" x14ac:dyDescent="0.3">
      <c r="A2334">
        <v>3</v>
      </c>
      <c r="B2334">
        <v>1</v>
      </c>
      <c r="C2334">
        <v>1</v>
      </c>
      <c r="D2334">
        <v>1</v>
      </c>
      <c r="E2334" t="s">
        <v>14</v>
      </c>
      <c r="F2334">
        <v>1</v>
      </c>
      <c r="G2334">
        <v>1</v>
      </c>
      <c r="H2334">
        <v>1</v>
      </c>
    </row>
    <row r="2335" spans="1:8" x14ac:dyDescent="0.3">
      <c r="A2335">
        <v>3</v>
      </c>
      <c r="B2335">
        <v>1</v>
      </c>
      <c r="C2335">
        <v>1</v>
      </c>
      <c r="D2335">
        <v>1</v>
      </c>
      <c r="E2335" t="s">
        <v>14</v>
      </c>
      <c r="F2335">
        <v>1</v>
      </c>
      <c r="G2335">
        <v>0</v>
      </c>
      <c r="H2335">
        <v>2</v>
      </c>
    </row>
    <row r="2336" spans="1:8" x14ac:dyDescent="0.3">
      <c r="A2336">
        <v>3</v>
      </c>
      <c r="B2336">
        <v>1</v>
      </c>
      <c r="C2336">
        <v>0</v>
      </c>
      <c r="D2336">
        <v>2</v>
      </c>
      <c r="E2336" t="s">
        <v>14</v>
      </c>
      <c r="F2336">
        <v>2</v>
      </c>
      <c r="G2336">
        <v>1</v>
      </c>
      <c r="H2336">
        <v>0</v>
      </c>
    </row>
    <row r="2337" spans="1:8" x14ac:dyDescent="0.3">
      <c r="A2337">
        <v>3</v>
      </c>
      <c r="B2337">
        <v>0</v>
      </c>
      <c r="C2337">
        <v>2</v>
      </c>
      <c r="D2337">
        <v>1</v>
      </c>
      <c r="E2337" t="s">
        <v>14</v>
      </c>
      <c r="F2337">
        <v>0</v>
      </c>
      <c r="G2337">
        <v>2</v>
      </c>
      <c r="H2337">
        <v>1</v>
      </c>
    </row>
    <row r="2338" spans="1:8" x14ac:dyDescent="0.3">
      <c r="A2338">
        <v>3</v>
      </c>
      <c r="B2338">
        <v>0</v>
      </c>
      <c r="C2338">
        <v>2</v>
      </c>
      <c r="D2338">
        <v>1</v>
      </c>
      <c r="E2338" t="s">
        <v>14</v>
      </c>
      <c r="F2338">
        <v>1</v>
      </c>
      <c r="G2338">
        <v>0</v>
      </c>
      <c r="H2338">
        <v>2</v>
      </c>
    </row>
    <row r="2339" spans="1:8" x14ac:dyDescent="0.3">
      <c r="A2339">
        <v>3</v>
      </c>
      <c r="B2339">
        <v>2</v>
      </c>
      <c r="C2339">
        <v>1</v>
      </c>
      <c r="D2339">
        <v>0</v>
      </c>
      <c r="E2339" t="s">
        <v>14</v>
      </c>
      <c r="F2339">
        <v>2</v>
      </c>
      <c r="G2339">
        <v>1</v>
      </c>
      <c r="H2339">
        <v>0</v>
      </c>
    </row>
    <row r="2340" spans="1:8" x14ac:dyDescent="0.3">
      <c r="A2340">
        <v>3</v>
      </c>
      <c r="B2340">
        <v>1</v>
      </c>
      <c r="C2340">
        <v>1</v>
      </c>
      <c r="D2340">
        <v>1</v>
      </c>
      <c r="E2340" t="s">
        <v>14</v>
      </c>
      <c r="F2340">
        <v>1</v>
      </c>
      <c r="G2340">
        <v>1</v>
      </c>
      <c r="H2340">
        <v>1</v>
      </c>
    </row>
    <row r="2341" spans="1:8" x14ac:dyDescent="0.3">
      <c r="A2341">
        <v>3</v>
      </c>
      <c r="B2341">
        <v>1</v>
      </c>
      <c r="C2341">
        <v>1</v>
      </c>
      <c r="D2341">
        <v>1</v>
      </c>
      <c r="E2341" t="s">
        <v>14</v>
      </c>
      <c r="F2341">
        <v>1</v>
      </c>
      <c r="G2341">
        <v>1</v>
      </c>
      <c r="H2341">
        <v>1</v>
      </c>
    </row>
    <row r="2342" spans="1:8" x14ac:dyDescent="0.3">
      <c r="A2342">
        <v>3</v>
      </c>
      <c r="B2342">
        <v>1</v>
      </c>
      <c r="C2342">
        <v>1</v>
      </c>
      <c r="D2342">
        <v>1</v>
      </c>
      <c r="E2342" t="s">
        <v>14</v>
      </c>
      <c r="F2342">
        <v>2</v>
      </c>
      <c r="G2342">
        <v>1</v>
      </c>
      <c r="H2342">
        <v>0</v>
      </c>
    </row>
    <row r="2343" spans="1:8" x14ac:dyDescent="0.3">
      <c r="A2343">
        <v>3</v>
      </c>
      <c r="B2343">
        <v>1</v>
      </c>
      <c r="C2343">
        <v>1</v>
      </c>
      <c r="D2343">
        <v>1</v>
      </c>
      <c r="E2343" t="s">
        <v>14</v>
      </c>
      <c r="F2343">
        <v>1</v>
      </c>
      <c r="G2343">
        <v>0</v>
      </c>
      <c r="H2343">
        <v>2</v>
      </c>
    </row>
    <row r="2344" spans="1:8" x14ac:dyDescent="0.3">
      <c r="A2344">
        <v>3</v>
      </c>
      <c r="B2344">
        <v>1</v>
      </c>
      <c r="C2344">
        <v>1</v>
      </c>
      <c r="D2344">
        <v>1</v>
      </c>
      <c r="E2344" t="s">
        <v>14</v>
      </c>
      <c r="F2344">
        <v>2</v>
      </c>
      <c r="G2344">
        <v>1</v>
      </c>
      <c r="H2344">
        <v>0</v>
      </c>
    </row>
    <row r="2345" spans="1:8" x14ac:dyDescent="0.3">
      <c r="A2345">
        <v>3</v>
      </c>
      <c r="B2345">
        <v>1</v>
      </c>
      <c r="C2345">
        <v>1</v>
      </c>
      <c r="D2345">
        <v>1</v>
      </c>
      <c r="E2345" t="s">
        <v>14</v>
      </c>
      <c r="F2345">
        <v>1</v>
      </c>
      <c r="G2345">
        <v>1</v>
      </c>
      <c r="H2345">
        <v>1</v>
      </c>
    </row>
    <row r="2346" spans="1:8" x14ac:dyDescent="0.3">
      <c r="A2346">
        <v>3</v>
      </c>
      <c r="B2346">
        <v>2</v>
      </c>
      <c r="C2346">
        <v>1</v>
      </c>
      <c r="D2346">
        <v>0</v>
      </c>
      <c r="E2346" t="s">
        <v>14</v>
      </c>
      <c r="F2346">
        <v>1</v>
      </c>
      <c r="G2346">
        <v>0</v>
      </c>
      <c r="H2346">
        <v>2</v>
      </c>
    </row>
    <row r="2347" spans="1:8" x14ac:dyDescent="0.3">
      <c r="A2347">
        <v>3</v>
      </c>
      <c r="B2347">
        <v>1</v>
      </c>
      <c r="C2347">
        <v>1</v>
      </c>
      <c r="D2347">
        <v>1</v>
      </c>
      <c r="E2347" t="s">
        <v>14</v>
      </c>
      <c r="F2347">
        <v>1</v>
      </c>
      <c r="G2347">
        <v>1</v>
      </c>
      <c r="H2347">
        <v>1</v>
      </c>
    </row>
    <row r="2348" spans="1:8" x14ac:dyDescent="0.3">
      <c r="A2348">
        <v>3</v>
      </c>
      <c r="B2348">
        <v>1</v>
      </c>
      <c r="C2348">
        <v>1</v>
      </c>
      <c r="D2348">
        <v>1</v>
      </c>
      <c r="E2348" t="s">
        <v>14</v>
      </c>
      <c r="F2348">
        <v>0</v>
      </c>
      <c r="G2348">
        <v>2</v>
      </c>
      <c r="H2348">
        <v>1</v>
      </c>
    </row>
    <row r="2349" spans="1:8" x14ac:dyDescent="0.3">
      <c r="A2349">
        <v>3</v>
      </c>
      <c r="B2349">
        <v>1</v>
      </c>
      <c r="C2349">
        <v>1</v>
      </c>
      <c r="D2349">
        <v>1</v>
      </c>
      <c r="E2349" t="s">
        <v>14</v>
      </c>
      <c r="F2349">
        <v>2</v>
      </c>
      <c r="G2349">
        <v>1</v>
      </c>
      <c r="H2349">
        <v>0</v>
      </c>
    </row>
    <row r="2350" spans="1:8" x14ac:dyDescent="0.3">
      <c r="A2350">
        <v>3</v>
      </c>
      <c r="B2350">
        <v>0</v>
      </c>
      <c r="C2350">
        <v>2</v>
      </c>
      <c r="D2350">
        <v>1</v>
      </c>
      <c r="E2350" t="s">
        <v>14</v>
      </c>
      <c r="F2350">
        <v>1</v>
      </c>
      <c r="G2350">
        <v>0</v>
      </c>
      <c r="H2350">
        <v>2</v>
      </c>
    </row>
    <row r="2351" spans="1:8" x14ac:dyDescent="0.3">
      <c r="A2351">
        <v>3</v>
      </c>
      <c r="B2351">
        <v>0</v>
      </c>
      <c r="C2351">
        <v>2</v>
      </c>
      <c r="D2351">
        <v>1</v>
      </c>
      <c r="E2351" t="s">
        <v>14</v>
      </c>
      <c r="F2351">
        <v>2</v>
      </c>
      <c r="G2351">
        <v>1</v>
      </c>
      <c r="H2351">
        <v>0</v>
      </c>
    </row>
    <row r="2352" spans="1:8" x14ac:dyDescent="0.3">
      <c r="A2352">
        <v>3</v>
      </c>
      <c r="B2352">
        <v>1</v>
      </c>
      <c r="C2352">
        <v>1</v>
      </c>
      <c r="D2352">
        <v>1</v>
      </c>
      <c r="E2352" t="s">
        <v>14</v>
      </c>
      <c r="F2352">
        <v>1</v>
      </c>
      <c r="G2352">
        <v>1</v>
      </c>
      <c r="H2352">
        <v>1</v>
      </c>
    </row>
    <row r="2353" spans="1:8" x14ac:dyDescent="0.3">
      <c r="A2353">
        <v>3</v>
      </c>
      <c r="B2353">
        <v>1</v>
      </c>
      <c r="C2353">
        <v>1</v>
      </c>
      <c r="D2353">
        <v>1</v>
      </c>
      <c r="E2353" t="s">
        <v>14</v>
      </c>
      <c r="F2353">
        <v>2</v>
      </c>
      <c r="G2353">
        <v>1</v>
      </c>
      <c r="H2353">
        <v>0</v>
      </c>
    </row>
    <row r="2354" spans="1:8" x14ac:dyDescent="0.3">
      <c r="A2354">
        <v>3</v>
      </c>
      <c r="B2354">
        <v>2</v>
      </c>
      <c r="C2354">
        <v>1</v>
      </c>
      <c r="D2354">
        <v>0</v>
      </c>
      <c r="E2354" t="s">
        <v>14</v>
      </c>
      <c r="F2354">
        <v>2</v>
      </c>
      <c r="G2354">
        <v>1</v>
      </c>
      <c r="H2354">
        <v>0</v>
      </c>
    </row>
    <row r="2355" spans="1:8" x14ac:dyDescent="0.3">
      <c r="A2355">
        <v>3</v>
      </c>
      <c r="B2355">
        <v>1</v>
      </c>
      <c r="C2355">
        <v>1</v>
      </c>
      <c r="D2355">
        <v>1</v>
      </c>
      <c r="E2355" t="s">
        <v>14</v>
      </c>
      <c r="F2355">
        <v>1</v>
      </c>
      <c r="G2355">
        <v>1</v>
      </c>
      <c r="H2355">
        <v>1</v>
      </c>
    </row>
    <row r="2356" spans="1:8" x14ac:dyDescent="0.3">
      <c r="A2356">
        <v>3</v>
      </c>
      <c r="B2356">
        <v>1</v>
      </c>
      <c r="C2356">
        <v>1</v>
      </c>
      <c r="D2356">
        <v>1</v>
      </c>
      <c r="E2356" t="s">
        <v>14</v>
      </c>
      <c r="F2356">
        <v>1</v>
      </c>
      <c r="G2356">
        <v>0</v>
      </c>
      <c r="H2356">
        <v>2</v>
      </c>
    </row>
    <row r="2357" spans="1:8" x14ac:dyDescent="0.3">
      <c r="A2357">
        <v>3</v>
      </c>
      <c r="B2357">
        <v>2</v>
      </c>
      <c r="C2357">
        <v>1</v>
      </c>
      <c r="D2357">
        <v>0</v>
      </c>
      <c r="E2357" t="s">
        <v>14</v>
      </c>
      <c r="F2357">
        <v>0</v>
      </c>
      <c r="G2357">
        <v>2</v>
      </c>
      <c r="H2357">
        <v>1</v>
      </c>
    </row>
    <row r="2358" spans="1:8" x14ac:dyDescent="0.3">
      <c r="A2358">
        <v>4</v>
      </c>
      <c r="B2358">
        <v>2</v>
      </c>
      <c r="C2358">
        <v>1</v>
      </c>
      <c r="D2358">
        <v>1</v>
      </c>
      <c r="E2358" t="s">
        <v>14</v>
      </c>
      <c r="F2358">
        <v>2</v>
      </c>
      <c r="G2358">
        <v>1</v>
      </c>
      <c r="H2358">
        <v>1</v>
      </c>
    </row>
    <row r="2359" spans="1:8" x14ac:dyDescent="0.3">
      <c r="A2359">
        <v>4</v>
      </c>
      <c r="B2359">
        <v>1</v>
      </c>
      <c r="C2359">
        <v>1</v>
      </c>
      <c r="D2359">
        <v>2</v>
      </c>
      <c r="E2359" t="s">
        <v>14</v>
      </c>
      <c r="F2359">
        <v>1</v>
      </c>
      <c r="G2359">
        <v>1</v>
      </c>
      <c r="H2359">
        <v>2</v>
      </c>
    </row>
    <row r="2360" spans="1:8" x14ac:dyDescent="0.3">
      <c r="A2360">
        <v>4</v>
      </c>
      <c r="B2360">
        <v>2</v>
      </c>
      <c r="C2360">
        <v>1</v>
      </c>
      <c r="D2360">
        <v>1</v>
      </c>
      <c r="E2360" t="s">
        <v>14</v>
      </c>
      <c r="F2360">
        <v>2</v>
      </c>
      <c r="G2360">
        <v>0</v>
      </c>
      <c r="H2360">
        <v>2</v>
      </c>
    </row>
    <row r="2361" spans="1:8" x14ac:dyDescent="0.3">
      <c r="A2361">
        <v>4</v>
      </c>
      <c r="B2361">
        <v>1</v>
      </c>
      <c r="C2361">
        <v>2</v>
      </c>
      <c r="D2361">
        <v>1</v>
      </c>
      <c r="E2361" t="s">
        <v>14</v>
      </c>
      <c r="F2361">
        <v>1</v>
      </c>
      <c r="G2361">
        <v>2</v>
      </c>
      <c r="H2361">
        <v>1</v>
      </c>
    </row>
    <row r="2362" spans="1:8" x14ac:dyDescent="0.3">
      <c r="A2362">
        <v>4</v>
      </c>
      <c r="B2362">
        <v>1</v>
      </c>
      <c r="C2362">
        <v>2</v>
      </c>
      <c r="D2362">
        <v>1</v>
      </c>
      <c r="E2362" t="s">
        <v>14</v>
      </c>
      <c r="F2362">
        <v>2</v>
      </c>
      <c r="G2362">
        <v>2</v>
      </c>
      <c r="H2362">
        <v>0</v>
      </c>
    </row>
    <row r="2363" spans="1:8" x14ac:dyDescent="0.3">
      <c r="A2363">
        <v>4</v>
      </c>
      <c r="B2363">
        <v>1</v>
      </c>
      <c r="C2363">
        <v>1</v>
      </c>
      <c r="D2363">
        <v>2</v>
      </c>
      <c r="E2363" t="s">
        <v>14</v>
      </c>
      <c r="F2363">
        <v>1</v>
      </c>
      <c r="G2363">
        <v>1</v>
      </c>
      <c r="H2363">
        <v>2</v>
      </c>
    </row>
    <row r="2364" spans="1:8" x14ac:dyDescent="0.3">
      <c r="A2364">
        <v>4</v>
      </c>
      <c r="B2364">
        <v>1</v>
      </c>
      <c r="C2364">
        <v>2</v>
      </c>
      <c r="D2364">
        <v>1</v>
      </c>
      <c r="E2364" t="s">
        <v>14</v>
      </c>
      <c r="F2364">
        <v>1</v>
      </c>
      <c r="G2364">
        <v>2</v>
      </c>
      <c r="H2364">
        <v>1</v>
      </c>
    </row>
    <row r="2365" spans="1:8" x14ac:dyDescent="0.3">
      <c r="A2365">
        <v>4</v>
      </c>
      <c r="B2365">
        <v>2</v>
      </c>
      <c r="C2365">
        <v>1</v>
      </c>
      <c r="D2365">
        <v>1</v>
      </c>
      <c r="E2365" t="s">
        <v>14</v>
      </c>
      <c r="F2365">
        <v>2</v>
      </c>
      <c r="G2365">
        <v>0</v>
      </c>
      <c r="H2365">
        <v>2</v>
      </c>
    </row>
    <row r="2366" spans="1:8" x14ac:dyDescent="0.3">
      <c r="A2366">
        <v>5</v>
      </c>
      <c r="B2366">
        <v>1</v>
      </c>
      <c r="C2366">
        <v>2</v>
      </c>
      <c r="D2366">
        <v>2</v>
      </c>
      <c r="E2366" t="s">
        <v>14</v>
      </c>
      <c r="F2366">
        <v>1</v>
      </c>
      <c r="G2366">
        <v>2</v>
      </c>
      <c r="H2366">
        <v>2</v>
      </c>
    </row>
    <row r="2367" spans="1:8" x14ac:dyDescent="0.3">
      <c r="A2367">
        <v>5</v>
      </c>
      <c r="B2367">
        <v>2</v>
      </c>
      <c r="C2367">
        <v>1</v>
      </c>
      <c r="D2367">
        <v>2</v>
      </c>
      <c r="E2367" t="s">
        <v>14</v>
      </c>
      <c r="F2367">
        <v>3</v>
      </c>
      <c r="G2367">
        <v>0</v>
      </c>
      <c r="H2367">
        <v>2</v>
      </c>
    </row>
    <row r="2368" spans="1:8" x14ac:dyDescent="0.3">
      <c r="A2368">
        <v>5</v>
      </c>
      <c r="B2368">
        <v>1</v>
      </c>
      <c r="C2368">
        <v>2</v>
      </c>
      <c r="D2368">
        <v>2</v>
      </c>
      <c r="E2368" t="s">
        <v>14</v>
      </c>
      <c r="F2368">
        <v>1</v>
      </c>
      <c r="G2368">
        <v>2</v>
      </c>
      <c r="H2368">
        <v>2</v>
      </c>
    </row>
    <row r="2369" spans="1:8" x14ac:dyDescent="0.3">
      <c r="A2369">
        <v>5</v>
      </c>
      <c r="B2369">
        <v>2</v>
      </c>
      <c r="C2369">
        <v>2</v>
      </c>
      <c r="D2369">
        <v>1</v>
      </c>
      <c r="E2369" t="s">
        <v>14</v>
      </c>
      <c r="F2369">
        <v>2</v>
      </c>
      <c r="G2369">
        <v>2</v>
      </c>
      <c r="H2369">
        <v>1</v>
      </c>
    </row>
    <row r="2370" spans="1:8" x14ac:dyDescent="0.3">
      <c r="A2370">
        <v>6</v>
      </c>
      <c r="B2370">
        <v>2</v>
      </c>
      <c r="C2370">
        <v>2</v>
      </c>
      <c r="D2370">
        <v>2</v>
      </c>
      <c r="E2370" t="s">
        <v>14</v>
      </c>
      <c r="F2370">
        <v>2</v>
      </c>
      <c r="G2370">
        <v>2</v>
      </c>
      <c r="H2370">
        <v>2</v>
      </c>
    </row>
    <row r="2371" spans="1:8" x14ac:dyDescent="0.3">
      <c r="A2371">
        <v>6</v>
      </c>
      <c r="B2371">
        <v>3</v>
      </c>
      <c r="C2371">
        <v>1</v>
      </c>
      <c r="D2371">
        <v>2</v>
      </c>
      <c r="E2371" t="s">
        <v>14</v>
      </c>
      <c r="F2371">
        <v>3</v>
      </c>
      <c r="G2371">
        <v>1</v>
      </c>
      <c r="H2371">
        <v>2</v>
      </c>
    </row>
    <row r="2372" spans="1:8" x14ac:dyDescent="0.3">
      <c r="A2372">
        <v>6</v>
      </c>
      <c r="B2372">
        <v>2</v>
      </c>
      <c r="C2372">
        <v>3</v>
      </c>
      <c r="D2372">
        <v>1</v>
      </c>
      <c r="E2372" t="s">
        <v>14</v>
      </c>
      <c r="F2372">
        <v>2</v>
      </c>
      <c r="G2372">
        <v>3</v>
      </c>
      <c r="H2372">
        <v>1</v>
      </c>
    </row>
    <row r="2373" spans="1:8" x14ac:dyDescent="0.3">
      <c r="A2373">
        <v>6</v>
      </c>
      <c r="B2373">
        <v>3</v>
      </c>
      <c r="C2373">
        <v>1</v>
      </c>
      <c r="D2373">
        <v>2</v>
      </c>
      <c r="E2373" t="s">
        <v>14</v>
      </c>
      <c r="F2373">
        <v>3</v>
      </c>
      <c r="G2373">
        <v>1</v>
      </c>
      <c r="H2373">
        <v>2</v>
      </c>
    </row>
    <row r="2374" spans="1:8" x14ac:dyDescent="0.3">
      <c r="A2374">
        <v>7</v>
      </c>
      <c r="B2374">
        <v>2</v>
      </c>
      <c r="C2374">
        <v>2</v>
      </c>
      <c r="D2374">
        <v>3</v>
      </c>
      <c r="E2374" t="s">
        <v>14</v>
      </c>
      <c r="F2374">
        <v>2</v>
      </c>
      <c r="G2374">
        <v>2</v>
      </c>
      <c r="H2374">
        <v>3</v>
      </c>
    </row>
    <row r="2375" spans="1:8" x14ac:dyDescent="0.3">
      <c r="A2375">
        <v>7</v>
      </c>
      <c r="B2375">
        <v>2</v>
      </c>
      <c r="C2375">
        <v>3</v>
      </c>
      <c r="D2375">
        <v>2</v>
      </c>
      <c r="E2375" t="s">
        <v>14</v>
      </c>
      <c r="F2375">
        <v>2</v>
      </c>
      <c r="G2375">
        <v>3</v>
      </c>
      <c r="H2375">
        <v>2</v>
      </c>
    </row>
    <row r="2376" spans="1:8" x14ac:dyDescent="0.3">
      <c r="A2376">
        <v>7</v>
      </c>
      <c r="B2376">
        <v>2</v>
      </c>
      <c r="C2376">
        <v>3</v>
      </c>
      <c r="D2376">
        <v>2</v>
      </c>
      <c r="E2376" t="s">
        <v>14</v>
      </c>
      <c r="F2376">
        <v>2</v>
      </c>
      <c r="G2376">
        <v>3</v>
      </c>
      <c r="H2376">
        <v>2</v>
      </c>
    </row>
    <row r="2377" spans="1:8" x14ac:dyDescent="0.3">
      <c r="A2377">
        <v>7</v>
      </c>
      <c r="B2377">
        <v>2</v>
      </c>
      <c r="C2377">
        <v>2</v>
      </c>
      <c r="D2377">
        <v>3</v>
      </c>
      <c r="E2377" t="s">
        <v>14</v>
      </c>
      <c r="F2377">
        <v>2</v>
      </c>
      <c r="G2377">
        <v>2</v>
      </c>
      <c r="H2377">
        <v>3</v>
      </c>
    </row>
    <row r="2378" spans="1:8" x14ac:dyDescent="0.3">
      <c r="A2378">
        <v>7</v>
      </c>
      <c r="B2378">
        <v>2</v>
      </c>
      <c r="C2378">
        <v>2</v>
      </c>
      <c r="D2378">
        <v>3</v>
      </c>
      <c r="E2378" t="s">
        <v>14</v>
      </c>
      <c r="F2378">
        <v>2</v>
      </c>
      <c r="G2378">
        <v>2</v>
      </c>
      <c r="H2378">
        <v>3</v>
      </c>
    </row>
    <row r="2379" spans="1:8" x14ac:dyDescent="0.3">
      <c r="A2379">
        <v>7</v>
      </c>
      <c r="B2379">
        <v>2</v>
      </c>
      <c r="C2379">
        <v>3</v>
      </c>
      <c r="D2379">
        <v>2</v>
      </c>
      <c r="E2379" t="s">
        <v>14</v>
      </c>
      <c r="F2379">
        <v>2</v>
      </c>
      <c r="G2379">
        <v>3</v>
      </c>
      <c r="H2379">
        <v>2</v>
      </c>
    </row>
    <row r="2380" spans="1:8" x14ac:dyDescent="0.3">
      <c r="A2380">
        <v>8</v>
      </c>
      <c r="B2380">
        <v>3</v>
      </c>
      <c r="C2380">
        <v>3</v>
      </c>
      <c r="D2380">
        <v>2</v>
      </c>
      <c r="E2380" t="s">
        <v>14</v>
      </c>
      <c r="F2380">
        <v>3</v>
      </c>
      <c r="G2380">
        <v>3</v>
      </c>
      <c r="H2380">
        <v>2</v>
      </c>
    </row>
    <row r="2381" spans="1:8" x14ac:dyDescent="0.3">
      <c r="A2381">
        <v>2</v>
      </c>
      <c r="B2381">
        <v>0</v>
      </c>
      <c r="C2381">
        <v>1</v>
      </c>
      <c r="D2381">
        <v>1</v>
      </c>
      <c r="E2381" t="s">
        <v>14</v>
      </c>
      <c r="F2381">
        <v>0</v>
      </c>
      <c r="G2381">
        <v>1</v>
      </c>
      <c r="H2381">
        <v>1</v>
      </c>
    </row>
    <row r="2382" spans="1:8" x14ac:dyDescent="0.3">
      <c r="A2382">
        <v>2</v>
      </c>
      <c r="B2382">
        <v>0</v>
      </c>
      <c r="C2382">
        <v>1</v>
      </c>
      <c r="D2382">
        <v>1</v>
      </c>
      <c r="E2382" t="s">
        <v>14</v>
      </c>
      <c r="F2382">
        <v>2</v>
      </c>
      <c r="G2382">
        <v>0</v>
      </c>
      <c r="H2382">
        <v>0</v>
      </c>
    </row>
    <row r="2383" spans="1:8" x14ac:dyDescent="0.3">
      <c r="A2383">
        <v>2</v>
      </c>
      <c r="B2383">
        <v>1</v>
      </c>
      <c r="C2383">
        <v>1</v>
      </c>
      <c r="D2383">
        <v>0</v>
      </c>
      <c r="E2383" t="s">
        <v>14</v>
      </c>
      <c r="F2383">
        <v>1</v>
      </c>
      <c r="G2383">
        <v>1</v>
      </c>
      <c r="H2383">
        <v>0</v>
      </c>
    </row>
    <row r="2384" spans="1:8" x14ac:dyDescent="0.3">
      <c r="A2384">
        <v>2</v>
      </c>
      <c r="B2384">
        <v>0</v>
      </c>
      <c r="C2384">
        <v>1</v>
      </c>
      <c r="D2384">
        <v>1</v>
      </c>
      <c r="E2384" t="s">
        <v>14</v>
      </c>
      <c r="F2384">
        <v>0</v>
      </c>
      <c r="G2384">
        <v>1</v>
      </c>
      <c r="H2384">
        <v>1</v>
      </c>
    </row>
    <row r="2385" spans="1:8" x14ac:dyDescent="0.3">
      <c r="A2385">
        <v>2</v>
      </c>
      <c r="B2385">
        <v>0</v>
      </c>
      <c r="C2385">
        <v>1</v>
      </c>
      <c r="D2385">
        <v>1</v>
      </c>
      <c r="E2385" t="s">
        <v>14</v>
      </c>
      <c r="F2385">
        <v>0</v>
      </c>
      <c r="G2385">
        <v>2</v>
      </c>
      <c r="H2385">
        <v>0</v>
      </c>
    </row>
    <row r="2386" spans="1:8" x14ac:dyDescent="0.3">
      <c r="A2386">
        <v>2</v>
      </c>
      <c r="B2386">
        <v>1</v>
      </c>
      <c r="C2386">
        <v>0</v>
      </c>
      <c r="D2386">
        <v>1</v>
      </c>
      <c r="E2386" t="s">
        <v>14</v>
      </c>
      <c r="F2386">
        <v>2</v>
      </c>
      <c r="G2386">
        <v>0</v>
      </c>
      <c r="H2386">
        <v>0</v>
      </c>
    </row>
    <row r="2387" spans="1:8" x14ac:dyDescent="0.3">
      <c r="A2387">
        <v>2</v>
      </c>
      <c r="B2387">
        <v>1</v>
      </c>
      <c r="C2387">
        <v>1</v>
      </c>
      <c r="D2387">
        <v>0</v>
      </c>
      <c r="E2387" t="s">
        <v>14</v>
      </c>
      <c r="F2387">
        <v>2</v>
      </c>
      <c r="G2387">
        <v>0</v>
      </c>
      <c r="H2387">
        <v>0</v>
      </c>
    </row>
    <row r="2388" spans="1:8" x14ac:dyDescent="0.3">
      <c r="A2388">
        <v>2</v>
      </c>
      <c r="B2388">
        <v>0</v>
      </c>
      <c r="C2388">
        <v>1</v>
      </c>
      <c r="D2388">
        <v>1</v>
      </c>
      <c r="E2388" t="s">
        <v>14</v>
      </c>
      <c r="F2388">
        <v>0</v>
      </c>
      <c r="G2388">
        <v>1</v>
      </c>
      <c r="H2388">
        <v>1</v>
      </c>
    </row>
    <row r="2389" spans="1:8" x14ac:dyDescent="0.3">
      <c r="A2389">
        <v>3</v>
      </c>
      <c r="B2389">
        <v>2</v>
      </c>
      <c r="C2389">
        <v>1</v>
      </c>
      <c r="D2389">
        <v>0</v>
      </c>
      <c r="E2389" t="s">
        <v>14</v>
      </c>
      <c r="F2389">
        <v>2</v>
      </c>
      <c r="G2389">
        <v>1</v>
      </c>
      <c r="H2389">
        <v>0</v>
      </c>
    </row>
    <row r="2390" spans="1:8" x14ac:dyDescent="0.3">
      <c r="A2390">
        <v>3</v>
      </c>
      <c r="B2390">
        <v>2</v>
      </c>
      <c r="C2390">
        <v>1</v>
      </c>
      <c r="D2390">
        <v>0</v>
      </c>
      <c r="E2390" t="s">
        <v>14</v>
      </c>
      <c r="F2390">
        <v>2</v>
      </c>
      <c r="G2390">
        <v>1</v>
      </c>
      <c r="H2390">
        <v>0</v>
      </c>
    </row>
    <row r="2391" spans="1:8" x14ac:dyDescent="0.3">
      <c r="A2391">
        <v>3</v>
      </c>
      <c r="B2391">
        <v>0</v>
      </c>
      <c r="C2391">
        <v>2</v>
      </c>
      <c r="D2391">
        <v>1</v>
      </c>
      <c r="E2391" t="s">
        <v>14</v>
      </c>
      <c r="F2391">
        <v>0</v>
      </c>
      <c r="G2391">
        <v>2</v>
      </c>
      <c r="H2391">
        <v>1</v>
      </c>
    </row>
    <row r="2392" spans="1:8" x14ac:dyDescent="0.3">
      <c r="A2392">
        <v>3</v>
      </c>
      <c r="B2392">
        <v>1</v>
      </c>
      <c r="C2392">
        <v>1</v>
      </c>
      <c r="D2392">
        <v>1</v>
      </c>
      <c r="E2392" t="s">
        <v>14</v>
      </c>
      <c r="F2392">
        <v>1</v>
      </c>
      <c r="G2392">
        <v>0</v>
      </c>
      <c r="H2392">
        <v>2</v>
      </c>
    </row>
    <row r="2393" spans="1:8" x14ac:dyDescent="0.3">
      <c r="A2393">
        <v>3</v>
      </c>
      <c r="B2393">
        <v>1</v>
      </c>
      <c r="C2393">
        <v>1</v>
      </c>
      <c r="D2393">
        <v>1</v>
      </c>
      <c r="E2393" t="s">
        <v>14</v>
      </c>
      <c r="F2393">
        <v>1</v>
      </c>
      <c r="G2393">
        <v>0</v>
      </c>
      <c r="H2393">
        <v>2</v>
      </c>
    </row>
    <row r="2394" spans="1:8" x14ac:dyDescent="0.3">
      <c r="A2394">
        <v>3</v>
      </c>
      <c r="B2394">
        <v>2</v>
      </c>
      <c r="C2394">
        <v>1</v>
      </c>
      <c r="D2394">
        <v>0</v>
      </c>
      <c r="E2394" t="s">
        <v>14</v>
      </c>
      <c r="F2394">
        <v>2</v>
      </c>
      <c r="G2394">
        <v>1</v>
      </c>
      <c r="H2394">
        <v>0</v>
      </c>
    </row>
    <row r="2395" spans="1:8" x14ac:dyDescent="0.3">
      <c r="A2395">
        <v>3</v>
      </c>
      <c r="B2395">
        <v>0</v>
      </c>
      <c r="C2395">
        <v>2</v>
      </c>
      <c r="D2395">
        <v>1</v>
      </c>
      <c r="E2395" t="s">
        <v>14</v>
      </c>
      <c r="F2395">
        <v>2</v>
      </c>
      <c r="G2395">
        <v>1</v>
      </c>
      <c r="H2395">
        <v>0</v>
      </c>
    </row>
    <row r="2396" spans="1:8" x14ac:dyDescent="0.3">
      <c r="A2396">
        <v>3</v>
      </c>
      <c r="B2396">
        <v>1</v>
      </c>
      <c r="C2396">
        <v>1</v>
      </c>
      <c r="D2396">
        <v>1</v>
      </c>
      <c r="E2396" t="s">
        <v>14</v>
      </c>
      <c r="F2396">
        <v>0</v>
      </c>
      <c r="G2396">
        <v>2</v>
      </c>
      <c r="H2396">
        <v>1</v>
      </c>
    </row>
    <row r="2397" spans="1:8" x14ac:dyDescent="0.3">
      <c r="A2397">
        <v>3</v>
      </c>
      <c r="B2397">
        <v>1</v>
      </c>
      <c r="C2397">
        <v>1</v>
      </c>
      <c r="D2397">
        <v>1</v>
      </c>
      <c r="E2397" t="s">
        <v>14</v>
      </c>
      <c r="F2397">
        <v>1</v>
      </c>
      <c r="G2397">
        <v>1</v>
      </c>
      <c r="H2397">
        <v>1</v>
      </c>
    </row>
    <row r="2398" spans="1:8" x14ac:dyDescent="0.3">
      <c r="A2398">
        <v>3</v>
      </c>
      <c r="B2398">
        <v>0</v>
      </c>
      <c r="C2398">
        <v>2</v>
      </c>
      <c r="D2398">
        <v>1</v>
      </c>
      <c r="E2398" t="s">
        <v>14</v>
      </c>
      <c r="F2398">
        <v>0</v>
      </c>
      <c r="G2398">
        <v>2</v>
      </c>
      <c r="H2398">
        <v>1</v>
      </c>
    </row>
    <row r="2399" spans="1:8" x14ac:dyDescent="0.3">
      <c r="A2399">
        <v>3</v>
      </c>
      <c r="B2399">
        <v>1</v>
      </c>
      <c r="C2399">
        <v>1</v>
      </c>
      <c r="D2399">
        <v>1</v>
      </c>
      <c r="E2399" t="s">
        <v>14</v>
      </c>
      <c r="F2399">
        <v>1</v>
      </c>
      <c r="G2399">
        <v>1</v>
      </c>
      <c r="H2399">
        <v>1</v>
      </c>
    </row>
    <row r="2400" spans="1:8" x14ac:dyDescent="0.3">
      <c r="A2400">
        <v>3</v>
      </c>
      <c r="B2400">
        <v>0</v>
      </c>
      <c r="C2400">
        <v>2</v>
      </c>
      <c r="D2400">
        <v>1</v>
      </c>
      <c r="E2400" t="s">
        <v>14</v>
      </c>
      <c r="F2400">
        <v>0</v>
      </c>
      <c r="G2400">
        <v>2</v>
      </c>
      <c r="H2400">
        <v>1</v>
      </c>
    </row>
    <row r="2401" spans="1:8" x14ac:dyDescent="0.3">
      <c r="A2401">
        <v>3</v>
      </c>
      <c r="B2401">
        <v>1</v>
      </c>
      <c r="C2401">
        <v>1</v>
      </c>
      <c r="D2401">
        <v>1</v>
      </c>
      <c r="E2401" t="s">
        <v>14</v>
      </c>
      <c r="F2401">
        <v>1</v>
      </c>
      <c r="G2401">
        <v>1</v>
      </c>
      <c r="H2401">
        <v>1</v>
      </c>
    </row>
    <row r="2402" spans="1:8" x14ac:dyDescent="0.3">
      <c r="A2402">
        <v>3</v>
      </c>
      <c r="B2402">
        <v>2</v>
      </c>
      <c r="C2402">
        <v>1</v>
      </c>
      <c r="D2402">
        <v>0</v>
      </c>
      <c r="E2402" t="s">
        <v>14</v>
      </c>
      <c r="F2402">
        <v>2</v>
      </c>
      <c r="G2402">
        <v>1</v>
      </c>
      <c r="H2402">
        <v>0</v>
      </c>
    </row>
    <row r="2403" spans="1:8" x14ac:dyDescent="0.3">
      <c r="A2403">
        <v>3</v>
      </c>
      <c r="B2403">
        <v>1</v>
      </c>
      <c r="C2403">
        <v>1</v>
      </c>
      <c r="D2403">
        <v>1</v>
      </c>
      <c r="E2403" t="s">
        <v>14</v>
      </c>
      <c r="F2403">
        <v>1</v>
      </c>
      <c r="G2403">
        <v>0</v>
      </c>
      <c r="H2403">
        <v>2</v>
      </c>
    </row>
    <row r="2404" spans="1:8" x14ac:dyDescent="0.3">
      <c r="A2404">
        <v>3</v>
      </c>
      <c r="B2404">
        <v>2</v>
      </c>
      <c r="C2404">
        <v>1</v>
      </c>
      <c r="D2404">
        <v>0</v>
      </c>
      <c r="E2404" t="s">
        <v>14</v>
      </c>
      <c r="F2404">
        <v>2</v>
      </c>
      <c r="G2404">
        <v>1</v>
      </c>
      <c r="H2404">
        <v>0</v>
      </c>
    </row>
    <row r="2405" spans="1:8" x14ac:dyDescent="0.3">
      <c r="A2405">
        <v>3</v>
      </c>
      <c r="B2405">
        <v>1</v>
      </c>
      <c r="C2405">
        <v>1</v>
      </c>
      <c r="D2405">
        <v>1</v>
      </c>
      <c r="E2405" t="s">
        <v>14</v>
      </c>
      <c r="F2405">
        <v>1</v>
      </c>
      <c r="G2405">
        <v>1</v>
      </c>
      <c r="H2405">
        <v>1</v>
      </c>
    </row>
    <row r="2406" spans="1:8" x14ac:dyDescent="0.3">
      <c r="A2406">
        <v>3</v>
      </c>
      <c r="B2406">
        <v>1</v>
      </c>
      <c r="C2406">
        <v>0</v>
      </c>
      <c r="D2406">
        <v>2</v>
      </c>
      <c r="E2406" t="s">
        <v>14</v>
      </c>
      <c r="F2406">
        <v>1</v>
      </c>
      <c r="G2406">
        <v>0</v>
      </c>
      <c r="H2406">
        <v>2</v>
      </c>
    </row>
    <row r="2407" spans="1:8" x14ac:dyDescent="0.3">
      <c r="A2407">
        <v>3</v>
      </c>
      <c r="B2407">
        <v>0</v>
      </c>
      <c r="C2407">
        <v>2</v>
      </c>
      <c r="D2407">
        <v>1</v>
      </c>
      <c r="E2407" t="s">
        <v>14</v>
      </c>
      <c r="F2407">
        <v>1</v>
      </c>
      <c r="G2407">
        <v>0</v>
      </c>
      <c r="H2407">
        <v>2</v>
      </c>
    </row>
    <row r="2408" spans="1:8" x14ac:dyDescent="0.3">
      <c r="A2408">
        <v>3</v>
      </c>
      <c r="B2408">
        <v>2</v>
      </c>
      <c r="C2408">
        <v>1</v>
      </c>
      <c r="D2408">
        <v>0</v>
      </c>
      <c r="E2408" t="s">
        <v>14</v>
      </c>
      <c r="F2408">
        <v>0</v>
      </c>
      <c r="G2408">
        <v>2</v>
      </c>
      <c r="H2408">
        <v>1</v>
      </c>
    </row>
    <row r="2409" spans="1:8" x14ac:dyDescent="0.3">
      <c r="A2409">
        <v>3</v>
      </c>
      <c r="B2409">
        <v>0</v>
      </c>
      <c r="C2409">
        <v>2</v>
      </c>
      <c r="D2409">
        <v>1</v>
      </c>
      <c r="E2409" t="s">
        <v>14</v>
      </c>
      <c r="F2409">
        <v>0</v>
      </c>
      <c r="G2409">
        <v>2</v>
      </c>
      <c r="H2409">
        <v>1</v>
      </c>
    </row>
    <row r="2410" spans="1:8" x14ac:dyDescent="0.3">
      <c r="A2410">
        <v>3</v>
      </c>
      <c r="B2410">
        <v>1</v>
      </c>
      <c r="C2410">
        <v>1</v>
      </c>
      <c r="D2410">
        <v>1</v>
      </c>
      <c r="E2410" t="s">
        <v>14</v>
      </c>
      <c r="F2410">
        <v>1</v>
      </c>
      <c r="G2410">
        <v>1</v>
      </c>
      <c r="H2410">
        <v>1</v>
      </c>
    </row>
    <row r="2411" spans="1:8" x14ac:dyDescent="0.3">
      <c r="A2411">
        <v>3</v>
      </c>
      <c r="B2411">
        <v>1</v>
      </c>
      <c r="C2411">
        <v>1</v>
      </c>
      <c r="D2411">
        <v>1</v>
      </c>
      <c r="E2411" t="s">
        <v>14</v>
      </c>
      <c r="F2411">
        <v>1</v>
      </c>
      <c r="G2411">
        <v>0</v>
      </c>
      <c r="H2411">
        <v>2</v>
      </c>
    </row>
    <row r="2412" spans="1:8" x14ac:dyDescent="0.3">
      <c r="A2412">
        <v>3</v>
      </c>
      <c r="B2412">
        <v>1</v>
      </c>
      <c r="C2412">
        <v>1</v>
      </c>
      <c r="D2412">
        <v>1</v>
      </c>
      <c r="E2412" t="s">
        <v>14</v>
      </c>
      <c r="F2412">
        <v>1</v>
      </c>
      <c r="G2412">
        <v>1</v>
      </c>
      <c r="H2412">
        <v>1</v>
      </c>
    </row>
    <row r="2413" spans="1:8" x14ac:dyDescent="0.3">
      <c r="A2413">
        <v>3</v>
      </c>
      <c r="B2413">
        <v>1</v>
      </c>
      <c r="C2413">
        <v>1</v>
      </c>
      <c r="D2413">
        <v>1</v>
      </c>
      <c r="E2413" t="s">
        <v>14</v>
      </c>
      <c r="F2413">
        <v>2</v>
      </c>
      <c r="G2413">
        <v>1</v>
      </c>
      <c r="H2413">
        <v>0</v>
      </c>
    </row>
    <row r="2414" spans="1:8" x14ac:dyDescent="0.3">
      <c r="A2414">
        <v>3</v>
      </c>
      <c r="B2414">
        <v>1</v>
      </c>
      <c r="C2414">
        <v>1</v>
      </c>
      <c r="D2414">
        <v>1</v>
      </c>
      <c r="E2414" t="s">
        <v>14</v>
      </c>
      <c r="F2414">
        <v>1</v>
      </c>
      <c r="G2414">
        <v>0</v>
      </c>
      <c r="H2414">
        <v>2</v>
      </c>
    </row>
    <row r="2415" spans="1:8" x14ac:dyDescent="0.3">
      <c r="A2415">
        <v>3</v>
      </c>
      <c r="B2415">
        <v>0</v>
      </c>
      <c r="C2415">
        <v>2</v>
      </c>
      <c r="D2415">
        <v>1</v>
      </c>
      <c r="E2415" t="s">
        <v>14</v>
      </c>
      <c r="F2415">
        <v>2</v>
      </c>
      <c r="G2415">
        <v>1</v>
      </c>
      <c r="H2415">
        <v>0</v>
      </c>
    </row>
    <row r="2416" spans="1:8" x14ac:dyDescent="0.3">
      <c r="A2416">
        <v>3</v>
      </c>
      <c r="B2416">
        <v>1</v>
      </c>
      <c r="C2416">
        <v>1</v>
      </c>
      <c r="D2416">
        <v>1</v>
      </c>
      <c r="E2416" t="s">
        <v>14</v>
      </c>
      <c r="F2416">
        <v>1</v>
      </c>
      <c r="G2416">
        <v>1</v>
      </c>
      <c r="H2416">
        <v>1</v>
      </c>
    </row>
    <row r="2417" spans="1:8" x14ac:dyDescent="0.3">
      <c r="A2417">
        <v>3</v>
      </c>
      <c r="B2417">
        <v>1</v>
      </c>
      <c r="C2417">
        <v>1</v>
      </c>
      <c r="D2417">
        <v>1</v>
      </c>
      <c r="E2417" t="s">
        <v>14</v>
      </c>
      <c r="F2417">
        <v>2</v>
      </c>
      <c r="G2417">
        <v>1</v>
      </c>
      <c r="H2417">
        <v>0</v>
      </c>
    </row>
    <row r="2418" spans="1:8" x14ac:dyDescent="0.3">
      <c r="A2418">
        <v>3</v>
      </c>
      <c r="B2418">
        <v>1</v>
      </c>
      <c r="C2418">
        <v>1</v>
      </c>
      <c r="D2418">
        <v>1</v>
      </c>
      <c r="E2418" t="s">
        <v>14</v>
      </c>
      <c r="F2418">
        <v>1</v>
      </c>
      <c r="G2418">
        <v>1</v>
      </c>
      <c r="H2418">
        <v>1</v>
      </c>
    </row>
    <row r="2419" spans="1:8" x14ac:dyDescent="0.3">
      <c r="A2419">
        <v>3</v>
      </c>
      <c r="B2419">
        <v>1</v>
      </c>
      <c r="C2419">
        <v>1</v>
      </c>
      <c r="D2419">
        <v>1</v>
      </c>
      <c r="E2419" t="s">
        <v>14</v>
      </c>
      <c r="F2419">
        <v>1</v>
      </c>
      <c r="G2419">
        <v>1</v>
      </c>
      <c r="H2419">
        <v>1</v>
      </c>
    </row>
    <row r="2420" spans="1:8" x14ac:dyDescent="0.3">
      <c r="A2420">
        <v>3</v>
      </c>
      <c r="B2420">
        <v>1</v>
      </c>
      <c r="C2420">
        <v>0</v>
      </c>
      <c r="D2420">
        <v>2</v>
      </c>
      <c r="E2420" t="s">
        <v>14</v>
      </c>
      <c r="F2420">
        <v>1</v>
      </c>
      <c r="G2420">
        <v>0</v>
      </c>
      <c r="H2420">
        <v>2</v>
      </c>
    </row>
    <row r="2421" spans="1:8" x14ac:dyDescent="0.3">
      <c r="A2421">
        <v>3</v>
      </c>
      <c r="B2421">
        <v>1</v>
      </c>
      <c r="C2421">
        <v>1</v>
      </c>
      <c r="D2421">
        <v>1</v>
      </c>
      <c r="E2421" t="s">
        <v>14</v>
      </c>
      <c r="F2421">
        <v>1</v>
      </c>
      <c r="G2421">
        <v>1</v>
      </c>
      <c r="H2421">
        <v>1</v>
      </c>
    </row>
    <row r="2422" spans="1:8" x14ac:dyDescent="0.3">
      <c r="A2422">
        <v>3</v>
      </c>
      <c r="B2422">
        <v>1</v>
      </c>
      <c r="C2422">
        <v>0</v>
      </c>
      <c r="D2422">
        <v>2</v>
      </c>
      <c r="E2422" t="s">
        <v>14</v>
      </c>
      <c r="F2422">
        <v>1</v>
      </c>
      <c r="G2422">
        <v>0</v>
      </c>
      <c r="H2422">
        <v>2</v>
      </c>
    </row>
    <row r="2423" spans="1:8" x14ac:dyDescent="0.3">
      <c r="A2423">
        <v>3</v>
      </c>
      <c r="B2423">
        <v>0</v>
      </c>
      <c r="C2423">
        <v>2</v>
      </c>
      <c r="D2423">
        <v>1</v>
      </c>
      <c r="E2423" t="s">
        <v>14</v>
      </c>
      <c r="F2423">
        <v>0</v>
      </c>
      <c r="G2423">
        <v>2</v>
      </c>
      <c r="H2423">
        <v>1</v>
      </c>
    </row>
    <row r="2424" spans="1:8" x14ac:dyDescent="0.3">
      <c r="A2424">
        <v>4</v>
      </c>
      <c r="B2424">
        <v>1</v>
      </c>
      <c r="C2424">
        <v>2</v>
      </c>
      <c r="D2424">
        <v>1</v>
      </c>
      <c r="E2424" t="s">
        <v>14</v>
      </c>
      <c r="F2424">
        <v>1</v>
      </c>
      <c r="G2424">
        <v>2</v>
      </c>
      <c r="H2424">
        <v>1</v>
      </c>
    </row>
    <row r="2425" spans="1:8" x14ac:dyDescent="0.3">
      <c r="A2425">
        <v>4</v>
      </c>
      <c r="B2425">
        <v>1</v>
      </c>
      <c r="C2425">
        <v>2</v>
      </c>
      <c r="D2425">
        <v>1</v>
      </c>
      <c r="E2425" t="s">
        <v>14</v>
      </c>
      <c r="F2425">
        <v>1</v>
      </c>
      <c r="G2425">
        <v>2</v>
      </c>
      <c r="H2425">
        <v>1</v>
      </c>
    </row>
    <row r="2426" spans="1:8" x14ac:dyDescent="0.3">
      <c r="A2426">
        <v>4</v>
      </c>
      <c r="B2426">
        <v>1</v>
      </c>
      <c r="C2426">
        <v>1</v>
      </c>
      <c r="D2426">
        <v>2</v>
      </c>
      <c r="E2426" t="s">
        <v>14</v>
      </c>
      <c r="F2426">
        <v>1</v>
      </c>
      <c r="G2426">
        <v>1</v>
      </c>
      <c r="H2426">
        <v>2</v>
      </c>
    </row>
    <row r="2427" spans="1:8" x14ac:dyDescent="0.3">
      <c r="A2427">
        <v>4</v>
      </c>
      <c r="B2427">
        <v>2</v>
      </c>
      <c r="C2427">
        <v>1</v>
      </c>
      <c r="D2427">
        <v>1</v>
      </c>
      <c r="E2427" t="s">
        <v>14</v>
      </c>
      <c r="F2427">
        <v>2</v>
      </c>
      <c r="G2427">
        <v>1</v>
      </c>
      <c r="H2427">
        <v>1</v>
      </c>
    </row>
    <row r="2428" spans="1:8" x14ac:dyDescent="0.3">
      <c r="A2428">
        <v>4</v>
      </c>
      <c r="B2428">
        <v>2</v>
      </c>
      <c r="C2428">
        <v>1</v>
      </c>
      <c r="D2428">
        <v>1</v>
      </c>
      <c r="E2428" t="s">
        <v>14</v>
      </c>
      <c r="F2428">
        <v>2</v>
      </c>
      <c r="G2428">
        <v>2</v>
      </c>
      <c r="H2428">
        <v>0</v>
      </c>
    </row>
    <row r="2429" spans="1:8" x14ac:dyDescent="0.3">
      <c r="A2429">
        <v>4</v>
      </c>
      <c r="B2429">
        <v>1</v>
      </c>
      <c r="C2429">
        <v>2</v>
      </c>
      <c r="D2429">
        <v>1</v>
      </c>
      <c r="E2429" t="s">
        <v>14</v>
      </c>
      <c r="F2429">
        <v>0</v>
      </c>
      <c r="G2429">
        <v>2</v>
      </c>
      <c r="H2429">
        <v>2</v>
      </c>
    </row>
    <row r="2430" spans="1:8" x14ac:dyDescent="0.3">
      <c r="A2430">
        <v>4</v>
      </c>
      <c r="B2430">
        <v>1</v>
      </c>
      <c r="C2430">
        <v>1</v>
      </c>
      <c r="D2430">
        <v>2</v>
      </c>
      <c r="E2430" t="s">
        <v>14</v>
      </c>
      <c r="F2430">
        <v>2</v>
      </c>
      <c r="G2430">
        <v>2</v>
      </c>
      <c r="H2430">
        <v>0</v>
      </c>
    </row>
    <row r="2431" spans="1:8" x14ac:dyDescent="0.3">
      <c r="A2431">
        <v>4</v>
      </c>
      <c r="B2431">
        <v>1</v>
      </c>
      <c r="C2431">
        <v>2</v>
      </c>
      <c r="D2431">
        <v>1</v>
      </c>
      <c r="E2431" t="s">
        <v>14</v>
      </c>
      <c r="F2431">
        <v>2</v>
      </c>
      <c r="G2431">
        <v>2</v>
      </c>
      <c r="H2431">
        <v>0</v>
      </c>
    </row>
    <row r="2432" spans="1:8" x14ac:dyDescent="0.3">
      <c r="A2432">
        <v>4</v>
      </c>
      <c r="B2432">
        <v>2</v>
      </c>
      <c r="C2432">
        <v>1</v>
      </c>
      <c r="D2432">
        <v>1</v>
      </c>
      <c r="E2432" t="s">
        <v>14</v>
      </c>
      <c r="F2432">
        <v>2</v>
      </c>
      <c r="G2432">
        <v>1</v>
      </c>
      <c r="H2432">
        <v>1</v>
      </c>
    </row>
    <row r="2433" spans="1:8" x14ac:dyDescent="0.3">
      <c r="A2433">
        <v>4</v>
      </c>
      <c r="B2433">
        <v>1</v>
      </c>
      <c r="C2433">
        <v>1</v>
      </c>
      <c r="D2433">
        <v>2</v>
      </c>
      <c r="E2433" t="s">
        <v>14</v>
      </c>
      <c r="F2433">
        <v>1</v>
      </c>
      <c r="G2433">
        <v>1</v>
      </c>
      <c r="H2433">
        <v>2</v>
      </c>
    </row>
    <row r="2434" spans="1:8" x14ac:dyDescent="0.3">
      <c r="A2434">
        <v>4</v>
      </c>
      <c r="B2434">
        <v>1</v>
      </c>
      <c r="C2434">
        <v>2</v>
      </c>
      <c r="D2434">
        <v>1</v>
      </c>
      <c r="E2434" t="s">
        <v>14</v>
      </c>
      <c r="F2434">
        <v>1</v>
      </c>
      <c r="G2434">
        <v>2</v>
      </c>
      <c r="H2434">
        <v>1</v>
      </c>
    </row>
    <row r="2435" spans="1:8" x14ac:dyDescent="0.3">
      <c r="A2435">
        <v>4</v>
      </c>
      <c r="B2435">
        <v>2</v>
      </c>
      <c r="C2435">
        <v>1</v>
      </c>
      <c r="D2435">
        <v>1</v>
      </c>
      <c r="E2435" t="s">
        <v>14</v>
      </c>
      <c r="F2435">
        <v>2</v>
      </c>
      <c r="G2435">
        <v>1</v>
      </c>
      <c r="H2435">
        <v>1</v>
      </c>
    </row>
    <row r="2436" spans="1:8" x14ac:dyDescent="0.3">
      <c r="A2436">
        <v>5</v>
      </c>
      <c r="B2436">
        <v>1</v>
      </c>
      <c r="C2436">
        <v>2</v>
      </c>
      <c r="D2436">
        <v>2</v>
      </c>
      <c r="E2436" t="s">
        <v>14</v>
      </c>
      <c r="F2436">
        <v>1</v>
      </c>
      <c r="G2436">
        <v>2</v>
      </c>
      <c r="H2436">
        <v>2</v>
      </c>
    </row>
    <row r="2437" spans="1:8" x14ac:dyDescent="0.3">
      <c r="A2437">
        <v>5</v>
      </c>
      <c r="B2437">
        <v>2</v>
      </c>
      <c r="C2437">
        <v>1</v>
      </c>
      <c r="D2437">
        <v>2</v>
      </c>
      <c r="E2437" t="s">
        <v>14</v>
      </c>
      <c r="F2437">
        <v>2</v>
      </c>
      <c r="G2437">
        <v>1</v>
      </c>
      <c r="H2437">
        <v>2</v>
      </c>
    </row>
    <row r="2438" spans="1:8" x14ac:dyDescent="0.3">
      <c r="A2438">
        <v>5</v>
      </c>
      <c r="B2438">
        <v>2</v>
      </c>
      <c r="C2438">
        <v>1</v>
      </c>
      <c r="D2438">
        <v>2</v>
      </c>
      <c r="E2438" t="s">
        <v>14</v>
      </c>
      <c r="F2438">
        <v>2</v>
      </c>
      <c r="G2438">
        <v>1</v>
      </c>
      <c r="H2438">
        <v>2</v>
      </c>
    </row>
    <row r="2439" spans="1:8" x14ac:dyDescent="0.3">
      <c r="A2439">
        <v>5</v>
      </c>
      <c r="B2439">
        <v>2</v>
      </c>
      <c r="C2439">
        <v>2</v>
      </c>
      <c r="D2439">
        <v>1</v>
      </c>
      <c r="E2439" t="s">
        <v>14</v>
      </c>
      <c r="F2439">
        <v>2</v>
      </c>
      <c r="G2439">
        <v>2</v>
      </c>
      <c r="H2439">
        <v>1</v>
      </c>
    </row>
    <row r="2440" spans="1:8" x14ac:dyDescent="0.3">
      <c r="A2440">
        <v>6</v>
      </c>
      <c r="B2440">
        <v>3</v>
      </c>
      <c r="C2440">
        <v>1</v>
      </c>
      <c r="D2440">
        <v>2</v>
      </c>
      <c r="E2440" t="s">
        <v>14</v>
      </c>
      <c r="F2440">
        <v>3</v>
      </c>
      <c r="G2440">
        <v>1</v>
      </c>
      <c r="H2440">
        <v>2</v>
      </c>
    </row>
    <row r="2441" spans="1:8" x14ac:dyDescent="0.3">
      <c r="A2441">
        <v>6</v>
      </c>
      <c r="B2441">
        <v>2</v>
      </c>
      <c r="C2441">
        <v>3</v>
      </c>
      <c r="D2441">
        <v>1</v>
      </c>
      <c r="E2441" t="s">
        <v>14</v>
      </c>
      <c r="F2441">
        <v>2</v>
      </c>
      <c r="G2441">
        <v>3</v>
      </c>
      <c r="H2441">
        <v>1</v>
      </c>
    </row>
    <row r="2442" spans="1:8" x14ac:dyDescent="0.3">
      <c r="A2442">
        <v>6</v>
      </c>
      <c r="B2442">
        <v>3</v>
      </c>
      <c r="C2442">
        <v>1</v>
      </c>
      <c r="D2442">
        <v>2</v>
      </c>
      <c r="E2442" t="s">
        <v>14</v>
      </c>
      <c r="F2442">
        <v>3</v>
      </c>
      <c r="G2442">
        <v>1</v>
      </c>
      <c r="H2442">
        <v>2</v>
      </c>
    </row>
    <row r="2443" spans="1:8" x14ac:dyDescent="0.3">
      <c r="A2443">
        <v>6</v>
      </c>
      <c r="B2443">
        <v>1</v>
      </c>
      <c r="C2443">
        <v>2</v>
      </c>
      <c r="D2443">
        <v>3</v>
      </c>
      <c r="E2443" t="s">
        <v>14</v>
      </c>
      <c r="F2443">
        <v>1</v>
      </c>
      <c r="G2443">
        <v>2</v>
      </c>
      <c r="H2443">
        <v>3</v>
      </c>
    </row>
    <row r="2444" spans="1:8" x14ac:dyDescent="0.3">
      <c r="A2444">
        <v>6</v>
      </c>
      <c r="B2444">
        <v>3</v>
      </c>
      <c r="C2444">
        <v>1</v>
      </c>
      <c r="D2444">
        <v>2</v>
      </c>
      <c r="E2444" t="s">
        <v>14</v>
      </c>
      <c r="F2444">
        <v>3</v>
      </c>
      <c r="G2444">
        <v>1</v>
      </c>
      <c r="H2444">
        <v>2</v>
      </c>
    </row>
    <row r="2445" spans="1:8" x14ac:dyDescent="0.3">
      <c r="A2445">
        <v>7</v>
      </c>
      <c r="B2445">
        <v>2</v>
      </c>
      <c r="C2445">
        <v>2</v>
      </c>
      <c r="D2445">
        <v>3</v>
      </c>
      <c r="E2445" t="s">
        <v>14</v>
      </c>
      <c r="F2445">
        <v>2</v>
      </c>
      <c r="G2445">
        <v>2</v>
      </c>
      <c r="H2445">
        <v>3</v>
      </c>
    </row>
    <row r="2446" spans="1:8" x14ac:dyDescent="0.3">
      <c r="A2446">
        <v>7</v>
      </c>
      <c r="B2446">
        <v>3</v>
      </c>
      <c r="C2446">
        <v>2</v>
      </c>
      <c r="D2446">
        <v>2</v>
      </c>
      <c r="E2446" t="s">
        <v>14</v>
      </c>
      <c r="F2446">
        <v>3</v>
      </c>
      <c r="G2446">
        <v>2</v>
      </c>
      <c r="H2446">
        <v>2</v>
      </c>
    </row>
    <row r="2447" spans="1:8" x14ac:dyDescent="0.3">
      <c r="A2447">
        <v>7</v>
      </c>
      <c r="B2447">
        <v>2</v>
      </c>
      <c r="C2447">
        <v>3</v>
      </c>
      <c r="D2447">
        <v>2</v>
      </c>
      <c r="E2447" t="s">
        <v>14</v>
      </c>
      <c r="F2447">
        <v>2</v>
      </c>
      <c r="G2447">
        <v>3</v>
      </c>
      <c r="H2447">
        <v>2</v>
      </c>
    </row>
    <row r="2448" spans="1:8" x14ac:dyDescent="0.3">
      <c r="A2448">
        <v>8</v>
      </c>
      <c r="B2448">
        <v>3</v>
      </c>
      <c r="C2448">
        <v>2</v>
      </c>
      <c r="D2448">
        <v>3</v>
      </c>
      <c r="E2448" t="s">
        <v>14</v>
      </c>
      <c r="F2448">
        <v>3</v>
      </c>
      <c r="G2448">
        <v>2</v>
      </c>
      <c r="H2448">
        <v>3</v>
      </c>
    </row>
    <row r="2449" spans="1:8" x14ac:dyDescent="0.3">
      <c r="A2449">
        <v>8</v>
      </c>
      <c r="B2449">
        <v>3</v>
      </c>
      <c r="C2449">
        <v>3</v>
      </c>
      <c r="D2449">
        <v>2</v>
      </c>
      <c r="E2449" t="s">
        <v>14</v>
      </c>
      <c r="F2449">
        <v>3</v>
      </c>
      <c r="G2449">
        <v>3</v>
      </c>
      <c r="H2449">
        <v>2</v>
      </c>
    </row>
    <row r="2450" spans="1:8" x14ac:dyDescent="0.3">
      <c r="A2450">
        <v>8</v>
      </c>
      <c r="B2450">
        <v>3</v>
      </c>
      <c r="C2450">
        <v>2</v>
      </c>
      <c r="D2450">
        <v>3</v>
      </c>
      <c r="E2450" t="s">
        <v>14</v>
      </c>
      <c r="F2450">
        <v>3</v>
      </c>
      <c r="G2450">
        <v>2</v>
      </c>
      <c r="H2450">
        <v>3</v>
      </c>
    </row>
    <row r="2451" spans="1:8" x14ac:dyDescent="0.3">
      <c r="A2451">
        <v>2</v>
      </c>
      <c r="B2451">
        <v>1</v>
      </c>
      <c r="C2451">
        <v>0</v>
      </c>
      <c r="D2451">
        <v>1</v>
      </c>
      <c r="E2451" t="s">
        <v>14</v>
      </c>
      <c r="F2451">
        <v>0</v>
      </c>
      <c r="G2451">
        <v>0</v>
      </c>
      <c r="H2451">
        <v>2</v>
      </c>
    </row>
    <row r="2452" spans="1:8" x14ac:dyDescent="0.3">
      <c r="A2452">
        <v>2</v>
      </c>
      <c r="B2452">
        <v>1</v>
      </c>
      <c r="C2452">
        <v>1</v>
      </c>
      <c r="D2452">
        <v>0</v>
      </c>
      <c r="E2452" t="s">
        <v>14</v>
      </c>
      <c r="F2452">
        <v>2</v>
      </c>
      <c r="G2452">
        <v>0</v>
      </c>
      <c r="H2452">
        <v>0</v>
      </c>
    </row>
    <row r="2453" spans="1:8" x14ac:dyDescent="0.3">
      <c r="A2453">
        <v>2</v>
      </c>
      <c r="B2453">
        <v>1</v>
      </c>
      <c r="C2453">
        <v>0</v>
      </c>
      <c r="D2453">
        <v>1</v>
      </c>
      <c r="E2453" t="s">
        <v>14</v>
      </c>
      <c r="F2453">
        <v>1</v>
      </c>
      <c r="G2453">
        <v>0</v>
      </c>
      <c r="H2453">
        <v>1</v>
      </c>
    </row>
    <row r="2454" spans="1:8" x14ac:dyDescent="0.3">
      <c r="A2454">
        <v>2</v>
      </c>
      <c r="B2454">
        <v>1</v>
      </c>
      <c r="C2454">
        <v>1</v>
      </c>
      <c r="D2454">
        <v>0</v>
      </c>
      <c r="E2454" t="s">
        <v>14</v>
      </c>
      <c r="F2454">
        <v>1</v>
      </c>
      <c r="G2454">
        <v>1</v>
      </c>
      <c r="H2454">
        <v>0</v>
      </c>
    </row>
    <row r="2455" spans="1:8" x14ac:dyDescent="0.3">
      <c r="A2455">
        <v>2</v>
      </c>
      <c r="B2455">
        <v>1</v>
      </c>
      <c r="C2455">
        <v>1</v>
      </c>
      <c r="D2455">
        <v>0</v>
      </c>
      <c r="E2455" t="s">
        <v>14</v>
      </c>
      <c r="F2455">
        <v>0</v>
      </c>
      <c r="G2455">
        <v>0</v>
      </c>
      <c r="H2455">
        <v>2</v>
      </c>
    </row>
    <row r="2456" spans="1:8" x14ac:dyDescent="0.3">
      <c r="A2456">
        <v>3</v>
      </c>
      <c r="B2456">
        <v>1</v>
      </c>
      <c r="C2456">
        <v>1</v>
      </c>
      <c r="D2456">
        <v>1</v>
      </c>
      <c r="E2456" t="s">
        <v>14</v>
      </c>
      <c r="F2456">
        <v>1</v>
      </c>
      <c r="G2456">
        <v>1</v>
      </c>
      <c r="H2456">
        <v>1</v>
      </c>
    </row>
    <row r="2457" spans="1:8" x14ac:dyDescent="0.3">
      <c r="A2457">
        <v>3</v>
      </c>
      <c r="B2457">
        <v>0</v>
      </c>
      <c r="C2457">
        <v>2</v>
      </c>
      <c r="D2457">
        <v>1</v>
      </c>
      <c r="E2457" t="s">
        <v>14</v>
      </c>
      <c r="F2457">
        <v>0</v>
      </c>
      <c r="G2457">
        <v>2</v>
      </c>
      <c r="H2457">
        <v>1</v>
      </c>
    </row>
    <row r="2458" spans="1:8" x14ac:dyDescent="0.3">
      <c r="A2458">
        <v>3</v>
      </c>
      <c r="B2458">
        <v>1</v>
      </c>
      <c r="C2458">
        <v>1</v>
      </c>
      <c r="D2458">
        <v>1</v>
      </c>
      <c r="E2458" t="s">
        <v>14</v>
      </c>
      <c r="F2458">
        <v>1</v>
      </c>
      <c r="G2458">
        <v>1</v>
      </c>
      <c r="H2458">
        <v>1</v>
      </c>
    </row>
    <row r="2459" spans="1:8" x14ac:dyDescent="0.3">
      <c r="A2459">
        <v>3</v>
      </c>
      <c r="B2459">
        <v>1</v>
      </c>
      <c r="C2459">
        <v>1</v>
      </c>
      <c r="D2459">
        <v>1</v>
      </c>
      <c r="E2459" t="s">
        <v>14</v>
      </c>
      <c r="F2459">
        <v>0</v>
      </c>
      <c r="G2459">
        <v>2</v>
      </c>
      <c r="H2459">
        <v>1</v>
      </c>
    </row>
    <row r="2460" spans="1:8" x14ac:dyDescent="0.3">
      <c r="A2460">
        <v>3</v>
      </c>
      <c r="B2460">
        <v>1</v>
      </c>
      <c r="C2460">
        <v>1</v>
      </c>
      <c r="D2460">
        <v>1</v>
      </c>
      <c r="E2460" t="s">
        <v>14</v>
      </c>
      <c r="F2460">
        <v>0</v>
      </c>
      <c r="G2460">
        <v>2</v>
      </c>
      <c r="H2460">
        <v>1</v>
      </c>
    </row>
    <row r="2461" spans="1:8" x14ac:dyDescent="0.3">
      <c r="A2461">
        <v>3</v>
      </c>
      <c r="B2461">
        <v>1</v>
      </c>
      <c r="C2461">
        <v>1</v>
      </c>
      <c r="D2461">
        <v>1</v>
      </c>
      <c r="E2461" t="s">
        <v>14</v>
      </c>
      <c r="F2461">
        <v>1</v>
      </c>
      <c r="G2461">
        <v>0</v>
      </c>
      <c r="H2461">
        <v>2</v>
      </c>
    </row>
    <row r="2462" spans="1:8" x14ac:dyDescent="0.3">
      <c r="A2462">
        <v>3</v>
      </c>
      <c r="B2462">
        <v>1</v>
      </c>
      <c r="C2462">
        <v>1</v>
      </c>
      <c r="D2462">
        <v>1</v>
      </c>
      <c r="E2462" t="s">
        <v>14</v>
      </c>
      <c r="F2462">
        <v>1</v>
      </c>
      <c r="G2462">
        <v>0</v>
      </c>
      <c r="H2462">
        <v>2</v>
      </c>
    </row>
    <row r="2463" spans="1:8" x14ac:dyDescent="0.3">
      <c r="A2463">
        <v>3</v>
      </c>
      <c r="B2463">
        <v>1</v>
      </c>
      <c r="C2463">
        <v>1</v>
      </c>
      <c r="D2463">
        <v>1</v>
      </c>
      <c r="E2463" t="s">
        <v>14</v>
      </c>
      <c r="F2463">
        <v>2</v>
      </c>
      <c r="G2463">
        <v>1</v>
      </c>
      <c r="H2463">
        <v>0</v>
      </c>
    </row>
    <row r="2464" spans="1:8" x14ac:dyDescent="0.3">
      <c r="A2464">
        <v>3</v>
      </c>
      <c r="B2464">
        <v>2</v>
      </c>
      <c r="C2464">
        <v>1</v>
      </c>
      <c r="D2464">
        <v>0</v>
      </c>
      <c r="E2464" t="s">
        <v>14</v>
      </c>
      <c r="F2464">
        <v>0</v>
      </c>
      <c r="G2464">
        <v>2</v>
      </c>
      <c r="H2464">
        <v>1</v>
      </c>
    </row>
    <row r="2465" spans="1:8" x14ac:dyDescent="0.3">
      <c r="A2465">
        <v>3</v>
      </c>
      <c r="B2465">
        <v>1</v>
      </c>
      <c r="C2465">
        <v>1</v>
      </c>
      <c r="D2465">
        <v>1</v>
      </c>
      <c r="E2465" t="s">
        <v>14</v>
      </c>
      <c r="F2465">
        <v>2</v>
      </c>
      <c r="G2465">
        <v>1</v>
      </c>
      <c r="H2465">
        <v>0</v>
      </c>
    </row>
    <row r="2466" spans="1:8" x14ac:dyDescent="0.3">
      <c r="A2466">
        <v>3</v>
      </c>
      <c r="B2466">
        <v>1</v>
      </c>
      <c r="C2466">
        <v>1</v>
      </c>
      <c r="D2466">
        <v>1</v>
      </c>
      <c r="E2466" t="s">
        <v>14</v>
      </c>
      <c r="F2466">
        <v>1</v>
      </c>
      <c r="G2466">
        <v>1</v>
      </c>
      <c r="H2466">
        <v>1</v>
      </c>
    </row>
    <row r="2467" spans="1:8" x14ac:dyDescent="0.3">
      <c r="A2467">
        <v>3</v>
      </c>
      <c r="B2467">
        <v>1</v>
      </c>
      <c r="C2467">
        <v>1</v>
      </c>
      <c r="D2467">
        <v>1</v>
      </c>
      <c r="E2467" t="s">
        <v>14</v>
      </c>
      <c r="F2467">
        <v>0</v>
      </c>
      <c r="G2467">
        <v>2</v>
      </c>
      <c r="H2467">
        <v>1</v>
      </c>
    </row>
    <row r="2468" spans="1:8" x14ac:dyDescent="0.3">
      <c r="A2468">
        <v>3</v>
      </c>
      <c r="B2468">
        <v>1</v>
      </c>
      <c r="C2468">
        <v>1</v>
      </c>
      <c r="D2468">
        <v>1</v>
      </c>
      <c r="E2468" t="s">
        <v>14</v>
      </c>
      <c r="F2468">
        <v>1</v>
      </c>
      <c r="G2468">
        <v>1</v>
      </c>
      <c r="H2468">
        <v>1</v>
      </c>
    </row>
    <row r="2469" spans="1:8" x14ac:dyDescent="0.3">
      <c r="A2469">
        <v>3</v>
      </c>
      <c r="B2469">
        <v>1</v>
      </c>
      <c r="C2469">
        <v>1</v>
      </c>
      <c r="D2469">
        <v>1</v>
      </c>
      <c r="E2469" t="s">
        <v>14</v>
      </c>
      <c r="F2469">
        <v>2</v>
      </c>
      <c r="G2469">
        <v>1</v>
      </c>
      <c r="H2469">
        <v>0</v>
      </c>
    </row>
    <row r="2470" spans="1:8" x14ac:dyDescent="0.3">
      <c r="A2470">
        <v>3</v>
      </c>
      <c r="B2470">
        <v>0</v>
      </c>
      <c r="C2470">
        <v>2</v>
      </c>
      <c r="D2470">
        <v>1</v>
      </c>
      <c r="E2470" t="s">
        <v>14</v>
      </c>
      <c r="F2470">
        <v>0</v>
      </c>
      <c r="G2470">
        <v>2</v>
      </c>
      <c r="H2470">
        <v>1</v>
      </c>
    </row>
    <row r="2471" spans="1:8" x14ac:dyDescent="0.3">
      <c r="A2471">
        <v>3</v>
      </c>
      <c r="B2471">
        <v>1</v>
      </c>
      <c r="C2471">
        <v>1</v>
      </c>
      <c r="D2471">
        <v>1</v>
      </c>
      <c r="E2471" t="s">
        <v>14</v>
      </c>
      <c r="F2471">
        <v>2</v>
      </c>
      <c r="G2471">
        <v>1</v>
      </c>
      <c r="H2471">
        <v>0</v>
      </c>
    </row>
    <row r="2472" spans="1:8" x14ac:dyDescent="0.3">
      <c r="A2472">
        <v>3</v>
      </c>
      <c r="B2472">
        <v>1</v>
      </c>
      <c r="C2472">
        <v>1</v>
      </c>
      <c r="D2472">
        <v>1</v>
      </c>
      <c r="E2472" t="s">
        <v>14</v>
      </c>
      <c r="F2472">
        <v>0</v>
      </c>
      <c r="G2472">
        <v>2</v>
      </c>
      <c r="H2472">
        <v>1</v>
      </c>
    </row>
    <row r="2473" spans="1:8" x14ac:dyDescent="0.3">
      <c r="A2473">
        <v>3</v>
      </c>
      <c r="B2473">
        <v>1</v>
      </c>
      <c r="C2473">
        <v>1</v>
      </c>
      <c r="D2473">
        <v>1</v>
      </c>
      <c r="E2473" t="s">
        <v>14</v>
      </c>
      <c r="F2473">
        <v>1</v>
      </c>
      <c r="G2473">
        <v>1</v>
      </c>
      <c r="H2473">
        <v>1</v>
      </c>
    </row>
    <row r="2474" spans="1:8" x14ac:dyDescent="0.3">
      <c r="A2474">
        <v>3</v>
      </c>
      <c r="B2474">
        <v>0</v>
      </c>
      <c r="C2474">
        <v>2</v>
      </c>
      <c r="D2474">
        <v>1</v>
      </c>
      <c r="E2474" t="s">
        <v>14</v>
      </c>
      <c r="F2474">
        <v>0</v>
      </c>
      <c r="G2474">
        <v>2</v>
      </c>
      <c r="H2474">
        <v>1</v>
      </c>
    </row>
    <row r="2475" spans="1:8" x14ac:dyDescent="0.3">
      <c r="A2475">
        <v>3</v>
      </c>
      <c r="B2475">
        <v>1</v>
      </c>
      <c r="C2475">
        <v>1</v>
      </c>
      <c r="D2475">
        <v>1</v>
      </c>
      <c r="E2475" t="s">
        <v>14</v>
      </c>
      <c r="F2475">
        <v>1</v>
      </c>
      <c r="G2475">
        <v>1</v>
      </c>
      <c r="H2475">
        <v>1</v>
      </c>
    </row>
    <row r="2476" spans="1:8" x14ac:dyDescent="0.3">
      <c r="A2476">
        <v>3</v>
      </c>
      <c r="B2476">
        <v>1</v>
      </c>
      <c r="C2476">
        <v>1</v>
      </c>
      <c r="D2476">
        <v>1</v>
      </c>
      <c r="E2476" t="s">
        <v>14</v>
      </c>
      <c r="F2476">
        <v>1</v>
      </c>
      <c r="G2476">
        <v>0</v>
      </c>
      <c r="H2476">
        <v>2</v>
      </c>
    </row>
    <row r="2477" spans="1:8" x14ac:dyDescent="0.3">
      <c r="A2477">
        <v>3</v>
      </c>
      <c r="B2477">
        <v>1</v>
      </c>
      <c r="C2477">
        <v>1</v>
      </c>
      <c r="D2477">
        <v>1</v>
      </c>
      <c r="E2477" t="s">
        <v>14</v>
      </c>
      <c r="F2477">
        <v>2</v>
      </c>
      <c r="G2477">
        <v>1</v>
      </c>
      <c r="H2477">
        <v>0</v>
      </c>
    </row>
    <row r="2478" spans="1:8" x14ac:dyDescent="0.3">
      <c r="A2478">
        <v>3</v>
      </c>
      <c r="B2478">
        <v>1</v>
      </c>
      <c r="C2478">
        <v>1</v>
      </c>
      <c r="D2478">
        <v>1</v>
      </c>
      <c r="E2478" t="s">
        <v>14</v>
      </c>
      <c r="F2478">
        <v>1</v>
      </c>
      <c r="G2478">
        <v>1</v>
      </c>
      <c r="H2478">
        <v>1</v>
      </c>
    </row>
    <row r="2479" spans="1:8" x14ac:dyDescent="0.3">
      <c r="A2479">
        <v>3</v>
      </c>
      <c r="B2479">
        <v>1</v>
      </c>
      <c r="C2479">
        <v>1</v>
      </c>
      <c r="D2479">
        <v>1</v>
      </c>
      <c r="E2479" t="s">
        <v>14</v>
      </c>
      <c r="F2479">
        <v>1</v>
      </c>
      <c r="G2479">
        <v>1</v>
      </c>
      <c r="H2479">
        <v>1</v>
      </c>
    </row>
    <row r="2480" spans="1:8" x14ac:dyDescent="0.3">
      <c r="A2480">
        <v>3</v>
      </c>
      <c r="B2480">
        <v>1</v>
      </c>
      <c r="C2480">
        <v>1</v>
      </c>
      <c r="D2480">
        <v>1</v>
      </c>
      <c r="E2480" t="s">
        <v>14</v>
      </c>
      <c r="F2480">
        <v>1</v>
      </c>
      <c r="G2480">
        <v>1</v>
      </c>
      <c r="H2480">
        <v>1</v>
      </c>
    </row>
    <row r="2481" spans="1:8" x14ac:dyDescent="0.3">
      <c r="A2481">
        <v>3</v>
      </c>
      <c r="B2481">
        <v>1</v>
      </c>
      <c r="C2481">
        <v>1</v>
      </c>
      <c r="D2481">
        <v>1</v>
      </c>
      <c r="E2481" t="s">
        <v>14</v>
      </c>
      <c r="F2481">
        <v>1</v>
      </c>
      <c r="G2481">
        <v>1</v>
      </c>
      <c r="H2481">
        <v>1</v>
      </c>
    </row>
    <row r="2482" spans="1:8" x14ac:dyDescent="0.3">
      <c r="A2482">
        <v>3</v>
      </c>
      <c r="B2482">
        <v>1</v>
      </c>
      <c r="C2482">
        <v>0</v>
      </c>
      <c r="D2482">
        <v>2</v>
      </c>
      <c r="E2482" t="s">
        <v>14</v>
      </c>
      <c r="F2482">
        <v>1</v>
      </c>
      <c r="G2482">
        <v>0</v>
      </c>
      <c r="H2482">
        <v>2</v>
      </c>
    </row>
    <row r="2483" spans="1:8" x14ac:dyDescent="0.3">
      <c r="A2483">
        <v>3</v>
      </c>
      <c r="B2483">
        <v>2</v>
      </c>
      <c r="C2483">
        <v>1</v>
      </c>
      <c r="D2483">
        <v>0</v>
      </c>
      <c r="E2483" t="s">
        <v>14</v>
      </c>
      <c r="F2483">
        <v>2</v>
      </c>
      <c r="G2483">
        <v>1</v>
      </c>
      <c r="H2483">
        <v>0</v>
      </c>
    </row>
    <row r="2484" spans="1:8" x14ac:dyDescent="0.3">
      <c r="A2484">
        <v>3</v>
      </c>
      <c r="B2484">
        <v>1</v>
      </c>
      <c r="C2484">
        <v>1</v>
      </c>
      <c r="D2484">
        <v>1</v>
      </c>
      <c r="E2484" t="s">
        <v>14</v>
      </c>
      <c r="F2484">
        <v>1</v>
      </c>
      <c r="G2484">
        <v>1</v>
      </c>
      <c r="H2484">
        <v>1</v>
      </c>
    </row>
    <row r="2485" spans="1:8" x14ac:dyDescent="0.3">
      <c r="A2485">
        <v>3</v>
      </c>
      <c r="B2485">
        <v>2</v>
      </c>
      <c r="C2485">
        <v>1</v>
      </c>
      <c r="D2485">
        <v>0</v>
      </c>
      <c r="E2485" t="s">
        <v>14</v>
      </c>
      <c r="F2485">
        <v>0</v>
      </c>
      <c r="G2485">
        <v>2</v>
      </c>
      <c r="H2485">
        <v>1</v>
      </c>
    </row>
    <row r="2486" spans="1:8" x14ac:dyDescent="0.3">
      <c r="A2486">
        <v>3</v>
      </c>
      <c r="B2486">
        <v>1</v>
      </c>
      <c r="C2486">
        <v>1</v>
      </c>
      <c r="D2486">
        <v>1</v>
      </c>
      <c r="E2486" t="s">
        <v>14</v>
      </c>
      <c r="F2486">
        <v>1</v>
      </c>
      <c r="G2486">
        <v>1</v>
      </c>
      <c r="H2486">
        <v>1</v>
      </c>
    </row>
    <row r="2487" spans="1:8" x14ac:dyDescent="0.3">
      <c r="A2487">
        <v>3</v>
      </c>
      <c r="B2487">
        <v>1</v>
      </c>
      <c r="C2487">
        <v>1</v>
      </c>
      <c r="D2487">
        <v>1</v>
      </c>
      <c r="E2487" t="s">
        <v>14</v>
      </c>
      <c r="F2487">
        <v>2</v>
      </c>
      <c r="G2487">
        <v>1</v>
      </c>
      <c r="H2487">
        <v>0</v>
      </c>
    </row>
    <row r="2488" spans="1:8" x14ac:dyDescent="0.3">
      <c r="A2488">
        <v>3</v>
      </c>
      <c r="B2488">
        <v>0</v>
      </c>
      <c r="C2488">
        <v>2</v>
      </c>
      <c r="D2488">
        <v>1</v>
      </c>
      <c r="E2488" t="s">
        <v>14</v>
      </c>
      <c r="F2488">
        <v>0</v>
      </c>
      <c r="G2488">
        <v>2</v>
      </c>
      <c r="H2488">
        <v>1</v>
      </c>
    </row>
    <row r="2489" spans="1:8" x14ac:dyDescent="0.3">
      <c r="A2489">
        <v>3</v>
      </c>
      <c r="B2489">
        <v>0</v>
      </c>
      <c r="C2489">
        <v>2</v>
      </c>
      <c r="D2489">
        <v>1</v>
      </c>
      <c r="E2489" t="s">
        <v>14</v>
      </c>
      <c r="F2489">
        <v>0</v>
      </c>
      <c r="G2489">
        <v>2</v>
      </c>
      <c r="H2489">
        <v>1</v>
      </c>
    </row>
    <row r="2490" spans="1:8" x14ac:dyDescent="0.3">
      <c r="A2490">
        <v>3</v>
      </c>
      <c r="B2490">
        <v>1</v>
      </c>
      <c r="C2490">
        <v>1</v>
      </c>
      <c r="D2490">
        <v>1</v>
      </c>
      <c r="E2490" t="s">
        <v>14</v>
      </c>
      <c r="F2490">
        <v>1</v>
      </c>
      <c r="G2490">
        <v>1</v>
      </c>
      <c r="H2490">
        <v>1</v>
      </c>
    </row>
    <row r="2491" spans="1:8" x14ac:dyDescent="0.3">
      <c r="A2491">
        <v>3</v>
      </c>
      <c r="B2491">
        <v>1</v>
      </c>
      <c r="C2491">
        <v>0</v>
      </c>
      <c r="D2491">
        <v>2</v>
      </c>
      <c r="E2491" t="s">
        <v>14</v>
      </c>
      <c r="F2491">
        <v>1</v>
      </c>
      <c r="G2491">
        <v>0</v>
      </c>
      <c r="H2491">
        <v>2</v>
      </c>
    </row>
    <row r="2492" spans="1:8" x14ac:dyDescent="0.3">
      <c r="A2492">
        <v>3</v>
      </c>
      <c r="B2492">
        <v>1</v>
      </c>
      <c r="C2492">
        <v>1</v>
      </c>
      <c r="D2492">
        <v>1</v>
      </c>
      <c r="E2492" t="s">
        <v>14</v>
      </c>
      <c r="F2492">
        <v>1</v>
      </c>
      <c r="G2492">
        <v>1</v>
      </c>
      <c r="H2492">
        <v>1</v>
      </c>
    </row>
    <row r="2493" spans="1:8" x14ac:dyDescent="0.3">
      <c r="A2493">
        <v>3</v>
      </c>
      <c r="B2493">
        <v>2</v>
      </c>
      <c r="C2493">
        <v>1</v>
      </c>
      <c r="D2493">
        <v>0</v>
      </c>
      <c r="E2493" t="s">
        <v>14</v>
      </c>
      <c r="F2493">
        <v>2</v>
      </c>
      <c r="G2493">
        <v>1</v>
      </c>
      <c r="H2493">
        <v>0</v>
      </c>
    </row>
    <row r="2494" spans="1:8" x14ac:dyDescent="0.3">
      <c r="A2494">
        <v>3</v>
      </c>
      <c r="B2494">
        <v>1</v>
      </c>
      <c r="C2494">
        <v>0</v>
      </c>
      <c r="D2494">
        <v>2</v>
      </c>
      <c r="E2494" t="s">
        <v>14</v>
      </c>
      <c r="F2494">
        <v>1</v>
      </c>
      <c r="G2494">
        <v>0</v>
      </c>
      <c r="H2494">
        <v>2</v>
      </c>
    </row>
    <row r="2495" spans="1:8" x14ac:dyDescent="0.3">
      <c r="A2495">
        <v>4</v>
      </c>
      <c r="B2495">
        <v>1</v>
      </c>
      <c r="C2495">
        <v>2</v>
      </c>
      <c r="D2495">
        <v>1</v>
      </c>
      <c r="E2495" t="s">
        <v>14</v>
      </c>
      <c r="F2495">
        <v>2</v>
      </c>
      <c r="G2495">
        <v>2</v>
      </c>
      <c r="H2495">
        <v>0</v>
      </c>
    </row>
    <row r="2496" spans="1:8" x14ac:dyDescent="0.3">
      <c r="A2496">
        <v>4</v>
      </c>
      <c r="B2496">
        <v>1</v>
      </c>
      <c r="C2496">
        <v>2</v>
      </c>
      <c r="D2496">
        <v>1</v>
      </c>
      <c r="E2496" t="s">
        <v>14</v>
      </c>
      <c r="F2496">
        <v>1</v>
      </c>
      <c r="G2496">
        <v>2</v>
      </c>
      <c r="H2496">
        <v>1</v>
      </c>
    </row>
    <row r="2497" spans="1:8" x14ac:dyDescent="0.3">
      <c r="A2497">
        <v>4</v>
      </c>
      <c r="B2497">
        <v>2</v>
      </c>
      <c r="C2497">
        <v>1</v>
      </c>
      <c r="D2497">
        <v>1</v>
      </c>
      <c r="E2497" t="s">
        <v>14</v>
      </c>
      <c r="F2497">
        <v>2</v>
      </c>
      <c r="G2497">
        <v>1</v>
      </c>
      <c r="H2497">
        <v>1</v>
      </c>
    </row>
    <row r="2498" spans="1:8" x14ac:dyDescent="0.3">
      <c r="A2498">
        <v>4</v>
      </c>
      <c r="B2498">
        <v>1</v>
      </c>
      <c r="C2498">
        <v>2</v>
      </c>
      <c r="D2498">
        <v>1</v>
      </c>
      <c r="E2498" t="s">
        <v>14</v>
      </c>
      <c r="F2498">
        <v>1</v>
      </c>
      <c r="G2498">
        <v>2</v>
      </c>
      <c r="H2498">
        <v>1</v>
      </c>
    </row>
    <row r="2499" spans="1:8" x14ac:dyDescent="0.3">
      <c r="A2499">
        <v>4</v>
      </c>
      <c r="B2499">
        <v>1</v>
      </c>
      <c r="C2499">
        <v>2</v>
      </c>
      <c r="D2499">
        <v>1</v>
      </c>
      <c r="E2499" t="s">
        <v>14</v>
      </c>
      <c r="F2499">
        <v>1</v>
      </c>
      <c r="G2499">
        <v>2</v>
      </c>
      <c r="H2499">
        <v>1</v>
      </c>
    </row>
    <row r="2500" spans="1:8" x14ac:dyDescent="0.3">
      <c r="A2500">
        <v>4</v>
      </c>
      <c r="B2500">
        <v>1</v>
      </c>
      <c r="C2500">
        <v>2</v>
      </c>
      <c r="D2500">
        <v>1</v>
      </c>
      <c r="E2500" t="s">
        <v>14</v>
      </c>
      <c r="F2500">
        <v>1</v>
      </c>
      <c r="G2500">
        <v>2</v>
      </c>
      <c r="H2500">
        <v>1</v>
      </c>
    </row>
    <row r="2501" spans="1:8" x14ac:dyDescent="0.3">
      <c r="A2501">
        <v>4</v>
      </c>
      <c r="B2501">
        <v>1</v>
      </c>
      <c r="C2501">
        <v>1</v>
      </c>
      <c r="D2501">
        <v>2</v>
      </c>
      <c r="E2501" t="s">
        <v>14</v>
      </c>
      <c r="F2501">
        <v>2</v>
      </c>
      <c r="G2501">
        <v>0</v>
      </c>
      <c r="H2501">
        <v>2</v>
      </c>
    </row>
    <row r="2502" spans="1:8" x14ac:dyDescent="0.3">
      <c r="A2502">
        <v>4</v>
      </c>
      <c r="B2502">
        <v>1</v>
      </c>
      <c r="C2502">
        <v>2</v>
      </c>
      <c r="D2502">
        <v>1</v>
      </c>
      <c r="E2502" t="s">
        <v>14</v>
      </c>
      <c r="F2502">
        <v>0</v>
      </c>
      <c r="G2502">
        <v>2</v>
      </c>
      <c r="H2502">
        <v>2</v>
      </c>
    </row>
    <row r="2503" spans="1:8" x14ac:dyDescent="0.3">
      <c r="A2503">
        <v>4</v>
      </c>
      <c r="B2503">
        <v>1</v>
      </c>
      <c r="C2503">
        <v>1</v>
      </c>
      <c r="D2503">
        <v>2</v>
      </c>
      <c r="E2503" t="s">
        <v>14</v>
      </c>
      <c r="F2503">
        <v>2</v>
      </c>
      <c r="G2503">
        <v>2</v>
      </c>
      <c r="H2503">
        <v>0</v>
      </c>
    </row>
    <row r="2504" spans="1:8" x14ac:dyDescent="0.3">
      <c r="A2504">
        <v>4</v>
      </c>
      <c r="B2504">
        <v>1</v>
      </c>
      <c r="C2504">
        <v>1</v>
      </c>
      <c r="D2504">
        <v>2</v>
      </c>
      <c r="E2504" t="s">
        <v>14</v>
      </c>
      <c r="F2504">
        <v>2</v>
      </c>
      <c r="G2504">
        <v>2</v>
      </c>
      <c r="H2504">
        <v>0</v>
      </c>
    </row>
    <row r="2505" spans="1:8" x14ac:dyDescent="0.3">
      <c r="A2505">
        <v>4</v>
      </c>
      <c r="B2505">
        <v>2</v>
      </c>
      <c r="C2505">
        <v>1</v>
      </c>
      <c r="D2505">
        <v>1</v>
      </c>
      <c r="E2505" t="s">
        <v>14</v>
      </c>
      <c r="F2505">
        <v>2</v>
      </c>
      <c r="G2505">
        <v>1</v>
      </c>
      <c r="H2505">
        <v>1</v>
      </c>
    </row>
    <row r="2506" spans="1:8" x14ac:dyDescent="0.3">
      <c r="A2506">
        <v>4</v>
      </c>
      <c r="B2506">
        <v>1</v>
      </c>
      <c r="C2506">
        <v>1</v>
      </c>
      <c r="D2506">
        <v>2</v>
      </c>
      <c r="E2506" t="s">
        <v>14</v>
      </c>
      <c r="F2506">
        <v>2</v>
      </c>
      <c r="G2506">
        <v>2</v>
      </c>
      <c r="H2506">
        <v>0</v>
      </c>
    </row>
    <row r="2507" spans="1:8" x14ac:dyDescent="0.3">
      <c r="A2507">
        <v>5</v>
      </c>
      <c r="B2507">
        <v>2</v>
      </c>
      <c r="C2507">
        <v>2</v>
      </c>
      <c r="D2507">
        <v>1</v>
      </c>
      <c r="E2507" t="s">
        <v>14</v>
      </c>
      <c r="F2507">
        <v>2</v>
      </c>
      <c r="G2507">
        <v>3</v>
      </c>
      <c r="H2507">
        <v>0</v>
      </c>
    </row>
    <row r="2508" spans="1:8" x14ac:dyDescent="0.3">
      <c r="A2508">
        <v>5</v>
      </c>
      <c r="B2508">
        <v>2</v>
      </c>
      <c r="C2508">
        <v>2</v>
      </c>
      <c r="D2508">
        <v>1</v>
      </c>
      <c r="E2508" t="s">
        <v>14</v>
      </c>
      <c r="F2508">
        <v>2</v>
      </c>
      <c r="G2508">
        <v>2</v>
      </c>
      <c r="H2508">
        <v>1</v>
      </c>
    </row>
    <row r="2509" spans="1:8" x14ac:dyDescent="0.3">
      <c r="A2509">
        <v>5</v>
      </c>
      <c r="B2509">
        <v>2</v>
      </c>
      <c r="C2509">
        <v>2</v>
      </c>
      <c r="D2509">
        <v>1</v>
      </c>
      <c r="E2509" t="s">
        <v>14</v>
      </c>
      <c r="F2509">
        <v>2</v>
      </c>
      <c r="G2509">
        <v>2</v>
      </c>
      <c r="H2509">
        <v>1</v>
      </c>
    </row>
    <row r="2510" spans="1:8" x14ac:dyDescent="0.3">
      <c r="A2510">
        <v>5</v>
      </c>
      <c r="B2510">
        <v>2</v>
      </c>
      <c r="C2510">
        <v>2</v>
      </c>
      <c r="D2510">
        <v>1</v>
      </c>
      <c r="E2510" t="s">
        <v>14</v>
      </c>
      <c r="F2510">
        <v>2</v>
      </c>
      <c r="G2510">
        <v>3</v>
      </c>
      <c r="H2510">
        <v>0</v>
      </c>
    </row>
    <row r="2511" spans="1:8" x14ac:dyDescent="0.3">
      <c r="A2511">
        <v>5</v>
      </c>
      <c r="B2511">
        <v>1</v>
      </c>
      <c r="C2511">
        <v>2</v>
      </c>
      <c r="D2511">
        <v>2</v>
      </c>
      <c r="E2511" t="s">
        <v>14</v>
      </c>
      <c r="F2511">
        <v>2</v>
      </c>
      <c r="G2511">
        <v>3</v>
      </c>
      <c r="H2511">
        <v>0</v>
      </c>
    </row>
    <row r="2512" spans="1:8" x14ac:dyDescent="0.3">
      <c r="A2512">
        <v>5</v>
      </c>
      <c r="B2512">
        <v>2</v>
      </c>
      <c r="C2512">
        <v>1</v>
      </c>
      <c r="D2512">
        <v>2</v>
      </c>
      <c r="E2512" t="s">
        <v>14</v>
      </c>
      <c r="F2512">
        <v>2</v>
      </c>
      <c r="G2512">
        <v>1</v>
      </c>
      <c r="H2512">
        <v>2</v>
      </c>
    </row>
    <row r="2513" spans="1:8" x14ac:dyDescent="0.3">
      <c r="A2513">
        <v>5</v>
      </c>
      <c r="B2513">
        <v>2</v>
      </c>
      <c r="C2513">
        <v>2</v>
      </c>
      <c r="D2513">
        <v>1</v>
      </c>
      <c r="E2513" t="s">
        <v>14</v>
      </c>
      <c r="F2513">
        <v>2</v>
      </c>
      <c r="G2513">
        <v>2</v>
      </c>
      <c r="H2513">
        <v>1</v>
      </c>
    </row>
    <row r="2514" spans="1:8" x14ac:dyDescent="0.3">
      <c r="A2514">
        <v>6</v>
      </c>
      <c r="B2514">
        <v>3</v>
      </c>
      <c r="C2514">
        <v>1</v>
      </c>
      <c r="D2514">
        <v>2</v>
      </c>
      <c r="E2514" t="s">
        <v>14</v>
      </c>
      <c r="F2514">
        <v>3</v>
      </c>
      <c r="G2514">
        <v>1</v>
      </c>
      <c r="H2514">
        <v>2</v>
      </c>
    </row>
    <row r="2515" spans="1:8" x14ac:dyDescent="0.3">
      <c r="A2515">
        <v>6</v>
      </c>
      <c r="B2515">
        <v>3</v>
      </c>
      <c r="C2515">
        <v>1</v>
      </c>
      <c r="D2515">
        <v>2</v>
      </c>
      <c r="E2515" t="s">
        <v>14</v>
      </c>
      <c r="F2515">
        <v>3</v>
      </c>
      <c r="G2515">
        <v>1</v>
      </c>
      <c r="H2515">
        <v>2</v>
      </c>
    </row>
    <row r="2516" spans="1:8" x14ac:dyDescent="0.3">
      <c r="A2516">
        <v>6</v>
      </c>
      <c r="B2516">
        <v>3</v>
      </c>
      <c r="C2516">
        <v>1</v>
      </c>
      <c r="D2516">
        <v>2</v>
      </c>
      <c r="E2516" t="s">
        <v>14</v>
      </c>
      <c r="F2516">
        <v>3</v>
      </c>
      <c r="G2516">
        <v>1</v>
      </c>
      <c r="H2516">
        <v>2</v>
      </c>
    </row>
    <row r="2517" spans="1:8" x14ac:dyDescent="0.3">
      <c r="A2517">
        <v>6</v>
      </c>
      <c r="B2517">
        <v>2</v>
      </c>
      <c r="C2517">
        <v>3</v>
      </c>
      <c r="D2517">
        <v>1</v>
      </c>
      <c r="E2517" t="s">
        <v>14</v>
      </c>
      <c r="F2517">
        <v>2</v>
      </c>
      <c r="G2517">
        <v>3</v>
      </c>
      <c r="H2517">
        <v>1</v>
      </c>
    </row>
    <row r="2518" spans="1:8" x14ac:dyDescent="0.3">
      <c r="A2518">
        <v>6</v>
      </c>
      <c r="B2518">
        <v>2</v>
      </c>
      <c r="C2518">
        <v>2</v>
      </c>
      <c r="D2518">
        <v>2</v>
      </c>
      <c r="E2518" t="s">
        <v>14</v>
      </c>
      <c r="F2518">
        <v>2</v>
      </c>
      <c r="G2518">
        <v>2</v>
      </c>
      <c r="H2518">
        <v>2</v>
      </c>
    </row>
    <row r="2519" spans="1:8" x14ac:dyDescent="0.3">
      <c r="A2519">
        <v>7</v>
      </c>
      <c r="B2519">
        <v>2</v>
      </c>
      <c r="C2519">
        <v>2</v>
      </c>
      <c r="D2519">
        <v>3</v>
      </c>
      <c r="E2519" t="s">
        <v>14</v>
      </c>
      <c r="F2519">
        <v>2</v>
      </c>
      <c r="G2519">
        <v>2</v>
      </c>
      <c r="H2519">
        <v>3</v>
      </c>
    </row>
    <row r="2520" spans="1:8" x14ac:dyDescent="0.3">
      <c r="A2520">
        <v>8</v>
      </c>
      <c r="B2520">
        <v>3</v>
      </c>
      <c r="C2520">
        <v>2</v>
      </c>
      <c r="D2520">
        <v>3</v>
      </c>
      <c r="E2520" t="s">
        <v>14</v>
      </c>
      <c r="F2520">
        <v>3</v>
      </c>
      <c r="G2520">
        <v>2</v>
      </c>
      <c r="H2520">
        <v>3</v>
      </c>
    </row>
    <row r="2521" spans="1:8" x14ac:dyDescent="0.3">
      <c r="A2521">
        <v>2</v>
      </c>
      <c r="B2521">
        <v>1</v>
      </c>
      <c r="C2521">
        <v>1</v>
      </c>
      <c r="D2521">
        <v>0</v>
      </c>
      <c r="E2521" t="s">
        <v>14</v>
      </c>
      <c r="F2521">
        <v>1</v>
      </c>
      <c r="G2521">
        <v>1</v>
      </c>
      <c r="H2521">
        <v>0</v>
      </c>
    </row>
    <row r="2522" spans="1:8" x14ac:dyDescent="0.3">
      <c r="A2522">
        <v>2</v>
      </c>
      <c r="B2522">
        <v>1</v>
      </c>
      <c r="C2522">
        <v>0</v>
      </c>
      <c r="D2522">
        <v>1</v>
      </c>
      <c r="E2522" t="s">
        <v>14</v>
      </c>
      <c r="F2522">
        <v>0</v>
      </c>
      <c r="G2522">
        <v>0</v>
      </c>
      <c r="H2522">
        <v>2</v>
      </c>
    </row>
    <row r="2523" spans="1:8" x14ac:dyDescent="0.3">
      <c r="A2523">
        <v>2</v>
      </c>
      <c r="B2523">
        <v>0</v>
      </c>
      <c r="C2523">
        <v>1</v>
      </c>
      <c r="D2523">
        <v>1</v>
      </c>
      <c r="E2523" t="s">
        <v>14</v>
      </c>
      <c r="F2523">
        <v>0</v>
      </c>
      <c r="G2523">
        <v>1</v>
      </c>
      <c r="H2523">
        <v>1</v>
      </c>
    </row>
    <row r="2524" spans="1:8" x14ac:dyDescent="0.3">
      <c r="A2524">
        <v>2</v>
      </c>
      <c r="B2524">
        <v>0</v>
      </c>
      <c r="C2524">
        <v>1</v>
      </c>
      <c r="D2524">
        <v>1</v>
      </c>
      <c r="E2524" t="s">
        <v>14</v>
      </c>
      <c r="F2524">
        <v>0</v>
      </c>
      <c r="G2524">
        <v>1</v>
      </c>
      <c r="H2524">
        <v>1</v>
      </c>
    </row>
    <row r="2525" spans="1:8" x14ac:dyDescent="0.3">
      <c r="A2525">
        <v>2</v>
      </c>
      <c r="B2525">
        <v>0</v>
      </c>
      <c r="C2525">
        <v>1</v>
      </c>
      <c r="D2525">
        <v>1</v>
      </c>
      <c r="E2525" t="s">
        <v>14</v>
      </c>
      <c r="F2525">
        <v>2</v>
      </c>
      <c r="G2525">
        <v>0</v>
      </c>
      <c r="H2525">
        <v>0</v>
      </c>
    </row>
    <row r="2526" spans="1:8" x14ac:dyDescent="0.3">
      <c r="A2526">
        <v>2</v>
      </c>
      <c r="B2526">
        <v>1</v>
      </c>
      <c r="C2526">
        <v>0</v>
      </c>
      <c r="D2526">
        <v>1</v>
      </c>
      <c r="E2526" t="s">
        <v>14</v>
      </c>
      <c r="F2526">
        <v>1</v>
      </c>
      <c r="G2526">
        <v>0</v>
      </c>
      <c r="H2526">
        <v>1</v>
      </c>
    </row>
    <row r="2527" spans="1:8" x14ac:dyDescent="0.3">
      <c r="A2527">
        <v>2</v>
      </c>
      <c r="B2527">
        <v>1</v>
      </c>
      <c r="C2527">
        <v>0</v>
      </c>
      <c r="D2527">
        <v>1</v>
      </c>
      <c r="E2527" t="s">
        <v>14</v>
      </c>
      <c r="F2527">
        <v>1</v>
      </c>
      <c r="G2527">
        <v>0</v>
      </c>
      <c r="H2527">
        <v>1</v>
      </c>
    </row>
    <row r="2528" spans="1:8" x14ac:dyDescent="0.3">
      <c r="A2528">
        <v>3</v>
      </c>
      <c r="B2528">
        <v>1</v>
      </c>
      <c r="C2528">
        <v>1</v>
      </c>
      <c r="D2528">
        <v>1</v>
      </c>
      <c r="E2528" t="s">
        <v>14</v>
      </c>
      <c r="F2528">
        <v>1</v>
      </c>
      <c r="G2528">
        <v>1</v>
      </c>
      <c r="H2528">
        <v>1</v>
      </c>
    </row>
    <row r="2529" spans="1:8" x14ac:dyDescent="0.3">
      <c r="A2529">
        <v>3</v>
      </c>
      <c r="B2529">
        <v>1</v>
      </c>
      <c r="C2529">
        <v>1</v>
      </c>
      <c r="D2529">
        <v>1</v>
      </c>
      <c r="E2529" t="s">
        <v>14</v>
      </c>
      <c r="F2529">
        <v>1</v>
      </c>
      <c r="G2529">
        <v>1</v>
      </c>
      <c r="H2529">
        <v>1</v>
      </c>
    </row>
    <row r="2530" spans="1:8" x14ac:dyDescent="0.3">
      <c r="A2530">
        <v>3</v>
      </c>
      <c r="B2530">
        <v>1</v>
      </c>
      <c r="C2530">
        <v>1</v>
      </c>
      <c r="D2530">
        <v>1</v>
      </c>
      <c r="E2530" t="s">
        <v>14</v>
      </c>
      <c r="F2530">
        <v>2</v>
      </c>
      <c r="G2530">
        <v>1</v>
      </c>
      <c r="H2530">
        <v>0</v>
      </c>
    </row>
    <row r="2531" spans="1:8" x14ac:dyDescent="0.3">
      <c r="A2531">
        <v>3</v>
      </c>
      <c r="B2531">
        <v>1</v>
      </c>
      <c r="C2531">
        <v>1</v>
      </c>
      <c r="D2531">
        <v>1</v>
      </c>
      <c r="E2531" t="s">
        <v>14</v>
      </c>
      <c r="F2531">
        <v>2</v>
      </c>
      <c r="G2531">
        <v>1</v>
      </c>
      <c r="H2531">
        <v>0</v>
      </c>
    </row>
    <row r="2532" spans="1:8" x14ac:dyDescent="0.3">
      <c r="A2532">
        <v>3</v>
      </c>
      <c r="B2532">
        <v>1</v>
      </c>
      <c r="C2532">
        <v>1</v>
      </c>
      <c r="D2532">
        <v>1</v>
      </c>
      <c r="E2532" t="s">
        <v>14</v>
      </c>
      <c r="F2532">
        <v>1</v>
      </c>
      <c r="G2532">
        <v>1</v>
      </c>
      <c r="H2532">
        <v>1</v>
      </c>
    </row>
    <row r="2533" spans="1:8" x14ac:dyDescent="0.3">
      <c r="A2533">
        <v>3</v>
      </c>
      <c r="B2533">
        <v>1</v>
      </c>
      <c r="C2533">
        <v>1</v>
      </c>
      <c r="D2533">
        <v>1</v>
      </c>
      <c r="E2533" t="s">
        <v>14</v>
      </c>
      <c r="F2533">
        <v>1</v>
      </c>
      <c r="G2533">
        <v>1</v>
      </c>
      <c r="H2533">
        <v>1</v>
      </c>
    </row>
    <row r="2534" spans="1:8" x14ac:dyDescent="0.3">
      <c r="A2534">
        <v>3</v>
      </c>
      <c r="B2534">
        <v>1</v>
      </c>
      <c r="C2534">
        <v>1</v>
      </c>
      <c r="D2534">
        <v>1</v>
      </c>
      <c r="E2534" t="s">
        <v>14</v>
      </c>
      <c r="F2534">
        <v>1</v>
      </c>
      <c r="G2534">
        <v>1</v>
      </c>
      <c r="H2534">
        <v>1</v>
      </c>
    </row>
    <row r="2535" spans="1:8" x14ac:dyDescent="0.3">
      <c r="A2535">
        <v>3</v>
      </c>
      <c r="B2535">
        <v>1</v>
      </c>
      <c r="C2535">
        <v>1</v>
      </c>
      <c r="D2535">
        <v>1</v>
      </c>
      <c r="E2535" t="s">
        <v>14</v>
      </c>
      <c r="F2535">
        <v>1</v>
      </c>
      <c r="G2535">
        <v>1</v>
      </c>
      <c r="H2535">
        <v>1</v>
      </c>
    </row>
    <row r="2536" spans="1:8" x14ac:dyDescent="0.3">
      <c r="A2536">
        <v>3</v>
      </c>
      <c r="B2536">
        <v>1</v>
      </c>
      <c r="C2536">
        <v>1</v>
      </c>
      <c r="D2536">
        <v>1</v>
      </c>
      <c r="E2536" t="s">
        <v>14</v>
      </c>
      <c r="F2536">
        <v>2</v>
      </c>
      <c r="G2536">
        <v>1</v>
      </c>
      <c r="H2536">
        <v>0</v>
      </c>
    </row>
    <row r="2537" spans="1:8" x14ac:dyDescent="0.3">
      <c r="A2537">
        <v>3</v>
      </c>
      <c r="B2537">
        <v>1</v>
      </c>
      <c r="C2537">
        <v>1</v>
      </c>
      <c r="D2537">
        <v>1</v>
      </c>
      <c r="E2537" t="s">
        <v>14</v>
      </c>
      <c r="F2537">
        <v>1</v>
      </c>
      <c r="G2537">
        <v>1</v>
      </c>
      <c r="H2537">
        <v>1</v>
      </c>
    </row>
    <row r="2538" spans="1:8" x14ac:dyDescent="0.3">
      <c r="A2538">
        <v>3</v>
      </c>
      <c r="B2538">
        <v>1</v>
      </c>
      <c r="C2538">
        <v>1</v>
      </c>
      <c r="D2538">
        <v>1</v>
      </c>
      <c r="E2538" t="s">
        <v>14</v>
      </c>
      <c r="F2538">
        <v>0</v>
      </c>
      <c r="G2538">
        <v>2</v>
      </c>
      <c r="H2538">
        <v>1</v>
      </c>
    </row>
    <row r="2539" spans="1:8" x14ac:dyDescent="0.3">
      <c r="A2539">
        <v>3</v>
      </c>
      <c r="B2539">
        <v>1</v>
      </c>
      <c r="C2539">
        <v>1</v>
      </c>
      <c r="D2539">
        <v>1</v>
      </c>
      <c r="E2539" t="s">
        <v>14</v>
      </c>
      <c r="F2539">
        <v>1</v>
      </c>
      <c r="G2539">
        <v>0</v>
      </c>
      <c r="H2539">
        <v>2</v>
      </c>
    </row>
    <row r="2540" spans="1:8" x14ac:dyDescent="0.3">
      <c r="A2540">
        <v>3</v>
      </c>
      <c r="B2540">
        <v>1</v>
      </c>
      <c r="C2540">
        <v>0</v>
      </c>
      <c r="D2540">
        <v>2</v>
      </c>
      <c r="E2540" t="s">
        <v>14</v>
      </c>
      <c r="F2540">
        <v>1</v>
      </c>
      <c r="G2540">
        <v>0</v>
      </c>
      <c r="H2540">
        <v>2</v>
      </c>
    </row>
    <row r="2541" spans="1:8" x14ac:dyDescent="0.3">
      <c r="A2541">
        <v>3</v>
      </c>
      <c r="B2541">
        <v>1</v>
      </c>
      <c r="C2541">
        <v>1</v>
      </c>
      <c r="D2541">
        <v>1</v>
      </c>
      <c r="E2541" t="s">
        <v>14</v>
      </c>
      <c r="F2541">
        <v>1</v>
      </c>
      <c r="G2541">
        <v>0</v>
      </c>
      <c r="H2541">
        <v>2</v>
      </c>
    </row>
    <row r="2542" spans="1:8" x14ac:dyDescent="0.3">
      <c r="A2542">
        <v>3</v>
      </c>
      <c r="B2542">
        <v>0</v>
      </c>
      <c r="C2542">
        <v>2</v>
      </c>
      <c r="D2542">
        <v>1</v>
      </c>
      <c r="E2542" t="s">
        <v>14</v>
      </c>
      <c r="F2542">
        <v>0</v>
      </c>
      <c r="G2542">
        <v>2</v>
      </c>
      <c r="H2542">
        <v>1</v>
      </c>
    </row>
    <row r="2543" spans="1:8" x14ac:dyDescent="0.3">
      <c r="A2543">
        <v>3</v>
      </c>
      <c r="B2543">
        <v>0</v>
      </c>
      <c r="C2543">
        <v>2</v>
      </c>
      <c r="D2543">
        <v>1</v>
      </c>
      <c r="E2543" t="s">
        <v>14</v>
      </c>
      <c r="F2543">
        <v>2</v>
      </c>
      <c r="G2543">
        <v>1</v>
      </c>
      <c r="H2543">
        <v>0</v>
      </c>
    </row>
    <row r="2544" spans="1:8" x14ac:dyDescent="0.3">
      <c r="A2544">
        <v>3</v>
      </c>
      <c r="B2544">
        <v>1</v>
      </c>
      <c r="C2544">
        <v>1</v>
      </c>
      <c r="D2544">
        <v>1</v>
      </c>
      <c r="E2544" t="s">
        <v>14</v>
      </c>
      <c r="F2544">
        <v>1</v>
      </c>
      <c r="G2544">
        <v>1</v>
      </c>
      <c r="H2544">
        <v>1</v>
      </c>
    </row>
    <row r="2545" spans="1:8" x14ac:dyDescent="0.3">
      <c r="A2545">
        <v>3</v>
      </c>
      <c r="B2545">
        <v>2</v>
      </c>
      <c r="C2545">
        <v>1</v>
      </c>
      <c r="D2545">
        <v>0</v>
      </c>
      <c r="E2545" t="s">
        <v>14</v>
      </c>
      <c r="F2545">
        <v>2</v>
      </c>
      <c r="G2545">
        <v>1</v>
      </c>
      <c r="H2545">
        <v>0</v>
      </c>
    </row>
    <row r="2546" spans="1:8" x14ac:dyDescent="0.3">
      <c r="A2546">
        <v>3</v>
      </c>
      <c r="B2546">
        <v>1</v>
      </c>
      <c r="C2546">
        <v>1</v>
      </c>
      <c r="D2546">
        <v>1</v>
      </c>
      <c r="E2546" t="s">
        <v>14</v>
      </c>
      <c r="F2546">
        <v>2</v>
      </c>
      <c r="G2546">
        <v>1</v>
      </c>
      <c r="H2546">
        <v>0</v>
      </c>
    </row>
    <row r="2547" spans="1:8" x14ac:dyDescent="0.3">
      <c r="A2547">
        <v>3</v>
      </c>
      <c r="B2547">
        <v>1</v>
      </c>
      <c r="C2547">
        <v>1</v>
      </c>
      <c r="D2547">
        <v>1</v>
      </c>
      <c r="E2547" t="s">
        <v>14</v>
      </c>
      <c r="F2547">
        <v>1</v>
      </c>
      <c r="G2547">
        <v>1</v>
      </c>
      <c r="H2547">
        <v>1</v>
      </c>
    </row>
    <row r="2548" spans="1:8" x14ac:dyDescent="0.3">
      <c r="A2548">
        <v>3</v>
      </c>
      <c r="B2548">
        <v>1</v>
      </c>
      <c r="C2548">
        <v>1</v>
      </c>
      <c r="D2548">
        <v>1</v>
      </c>
      <c r="E2548" t="s">
        <v>14</v>
      </c>
      <c r="F2548">
        <v>1</v>
      </c>
      <c r="G2548">
        <v>1</v>
      </c>
      <c r="H2548">
        <v>1</v>
      </c>
    </row>
    <row r="2549" spans="1:8" x14ac:dyDescent="0.3">
      <c r="A2549">
        <v>3</v>
      </c>
      <c r="B2549">
        <v>1</v>
      </c>
      <c r="C2549">
        <v>1</v>
      </c>
      <c r="D2549">
        <v>1</v>
      </c>
      <c r="E2549" t="s">
        <v>14</v>
      </c>
      <c r="F2549">
        <v>1</v>
      </c>
      <c r="G2549">
        <v>1</v>
      </c>
      <c r="H2549">
        <v>1</v>
      </c>
    </row>
    <row r="2550" spans="1:8" x14ac:dyDescent="0.3">
      <c r="A2550">
        <v>3</v>
      </c>
      <c r="B2550">
        <v>1</v>
      </c>
      <c r="C2550">
        <v>0</v>
      </c>
      <c r="D2550">
        <v>2</v>
      </c>
      <c r="E2550" t="s">
        <v>14</v>
      </c>
      <c r="F2550">
        <v>1</v>
      </c>
      <c r="G2550">
        <v>0</v>
      </c>
      <c r="H2550">
        <v>2</v>
      </c>
    </row>
    <row r="2551" spans="1:8" x14ac:dyDescent="0.3">
      <c r="A2551">
        <v>3</v>
      </c>
      <c r="B2551">
        <v>1</v>
      </c>
      <c r="C2551">
        <v>1</v>
      </c>
      <c r="D2551">
        <v>1</v>
      </c>
      <c r="E2551" t="s">
        <v>14</v>
      </c>
      <c r="F2551">
        <v>1</v>
      </c>
      <c r="G2551">
        <v>1</v>
      </c>
      <c r="H2551">
        <v>1</v>
      </c>
    </row>
    <row r="2552" spans="1:8" x14ac:dyDescent="0.3">
      <c r="A2552">
        <v>3</v>
      </c>
      <c r="B2552">
        <v>1</v>
      </c>
      <c r="C2552">
        <v>1</v>
      </c>
      <c r="D2552">
        <v>1</v>
      </c>
      <c r="E2552" t="s">
        <v>14</v>
      </c>
      <c r="F2552">
        <v>1</v>
      </c>
      <c r="G2552">
        <v>1</v>
      </c>
      <c r="H2552">
        <v>1</v>
      </c>
    </row>
    <row r="2553" spans="1:8" x14ac:dyDescent="0.3">
      <c r="A2553">
        <v>3</v>
      </c>
      <c r="B2553">
        <v>1</v>
      </c>
      <c r="C2553">
        <v>1</v>
      </c>
      <c r="D2553">
        <v>1</v>
      </c>
      <c r="E2553" t="s">
        <v>14</v>
      </c>
      <c r="F2553">
        <v>1</v>
      </c>
      <c r="G2553">
        <v>0</v>
      </c>
      <c r="H2553">
        <v>2</v>
      </c>
    </row>
    <row r="2554" spans="1:8" x14ac:dyDescent="0.3">
      <c r="A2554">
        <v>3</v>
      </c>
      <c r="B2554">
        <v>0</v>
      </c>
      <c r="C2554">
        <v>2</v>
      </c>
      <c r="D2554">
        <v>1</v>
      </c>
      <c r="E2554" t="s">
        <v>14</v>
      </c>
      <c r="F2554">
        <v>0</v>
      </c>
      <c r="G2554">
        <v>2</v>
      </c>
      <c r="H2554">
        <v>1</v>
      </c>
    </row>
    <row r="2555" spans="1:8" x14ac:dyDescent="0.3">
      <c r="A2555">
        <v>3</v>
      </c>
      <c r="B2555">
        <v>1</v>
      </c>
      <c r="C2555">
        <v>1</v>
      </c>
      <c r="D2555">
        <v>1</v>
      </c>
      <c r="E2555" t="s">
        <v>14</v>
      </c>
      <c r="F2555">
        <v>0</v>
      </c>
      <c r="G2555">
        <v>2</v>
      </c>
      <c r="H2555">
        <v>1</v>
      </c>
    </row>
    <row r="2556" spans="1:8" x14ac:dyDescent="0.3">
      <c r="A2556">
        <v>3</v>
      </c>
      <c r="B2556">
        <v>1</v>
      </c>
      <c r="C2556">
        <v>1</v>
      </c>
      <c r="D2556">
        <v>1</v>
      </c>
      <c r="E2556" t="s">
        <v>14</v>
      </c>
      <c r="F2556">
        <v>1</v>
      </c>
      <c r="G2556">
        <v>1</v>
      </c>
      <c r="H2556">
        <v>1</v>
      </c>
    </row>
    <row r="2557" spans="1:8" x14ac:dyDescent="0.3">
      <c r="A2557">
        <v>3</v>
      </c>
      <c r="B2557">
        <v>0</v>
      </c>
      <c r="C2557">
        <v>2</v>
      </c>
      <c r="D2557">
        <v>1</v>
      </c>
      <c r="E2557" t="s">
        <v>14</v>
      </c>
      <c r="F2557">
        <v>2</v>
      </c>
      <c r="G2557">
        <v>1</v>
      </c>
      <c r="H2557">
        <v>0</v>
      </c>
    </row>
    <row r="2558" spans="1:8" x14ac:dyDescent="0.3">
      <c r="A2558">
        <v>3</v>
      </c>
      <c r="B2558">
        <v>1</v>
      </c>
      <c r="C2558">
        <v>1</v>
      </c>
      <c r="D2558">
        <v>1</v>
      </c>
      <c r="E2558" t="s">
        <v>14</v>
      </c>
      <c r="F2558">
        <v>0</v>
      </c>
      <c r="G2558">
        <v>2</v>
      </c>
      <c r="H2558">
        <v>1</v>
      </c>
    </row>
    <row r="2559" spans="1:8" x14ac:dyDescent="0.3">
      <c r="A2559">
        <v>3</v>
      </c>
      <c r="B2559">
        <v>1</v>
      </c>
      <c r="C2559">
        <v>1</v>
      </c>
      <c r="D2559">
        <v>1</v>
      </c>
      <c r="E2559" t="s">
        <v>14</v>
      </c>
      <c r="F2559">
        <v>1</v>
      </c>
      <c r="G2559">
        <v>1</v>
      </c>
      <c r="H2559">
        <v>1</v>
      </c>
    </row>
    <row r="2560" spans="1:8" x14ac:dyDescent="0.3">
      <c r="A2560">
        <v>3</v>
      </c>
      <c r="B2560">
        <v>2</v>
      </c>
      <c r="C2560">
        <v>1</v>
      </c>
      <c r="D2560">
        <v>0</v>
      </c>
      <c r="E2560" t="s">
        <v>14</v>
      </c>
      <c r="F2560">
        <v>2</v>
      </c>
      <c r="G2560">
        <v>1</v>
      </c>
      <c r="H2560">
        <v>0</v>
      </c>
    </row>
    <row r="2561" spans="1:8" x14ac:dyDescent="0.3">
      <c r="A2561">
        <v>3</v>
      </c>
      <c r="B2561">
        <v>1</v>
      </c>
      <c r="C2561">
        <v>1</v>
      </c>
      <c r="D2561">
        <v>1</v>
      </c>
      <c r="E2561" t="s">
        <v>14</v>
      </c>
      <c r="F2561">
        <v>2</v>
      </c>
      <c r="G2561">
        <v>1</v>
      </c>
      <c r="H2561">
        <v>0</v>
      </c>
    </row>
    <row r="2562" spans="1:8" x14ac:dyDescent="0.3">
      <c r="A2562">
        <v>3</v>
      </c>
      <c r="B2562">
        <v>1</v>
      </c>
      <c r="C2562">
        <v>1</v>
      </c>
      <c r="D2562">
        <v>1</v>
      </c>
      <c r="E2562" t="s">
        <v>14</v>
      </c>
      <c r="F2562">
        <v>2</v>
      </c>
      <c r="G2562">
        <v>1</v>
      </c>
      <c r="H2562">
        <v>0</v>
      </c>
    </row>
    <row r="2563" spans="1:8" x14ac:dyDescent="0.3">
      <c r="A2563">
        <v>3</v>
      </c>
      <c r="B2563">
        <v>1</v>
      </c>
      <c r="C2563">
        <v>1</v>
      </c>
      <c r="D2563">
        <v>1</v>
      </c>
      <c r="E2563" t="s">
        <v>14</v>
      </c>
      <c r="F2563">
        <v>1</v>
      </c>
      <c r="G2563">
        <v>1</v>
      </c>
      <c r="H2563">
        <v>1</v>
      </c>
    </row>
    <row r="2564" spans="1:8" x14ac:dyDescent="0.3">
      <c r="A2564">
        <v>3</v>
      </c>
      <c r="B2564">
        <v>1</v>
      </c>
      <c r="C2564">
        <v>1</v>
      </c>
      <c r="D2564">
        <v>1</v>
      </c>
      <c r="E2564" t="s">
        <v>14</v>
      </c>
      <c r="F2564">
        <v>0</v>
      </c>
      <c r="G2564">
        <v>2</v>
      </c>
      <c r="H2564">
        <v>1</v>
      </c>
    </row>
    <row r="2565" spans="1:8" x14ac:dyDescent="0.3">
      <c r="A2565">
        <v>3</v>
      </c>
      <c r="B2565">
        <v>1</v>
      </c>
      <c r="C2565">
        <v>1</v>
      </c>
      <c r="D2565">
        <v>1</v>
      </c>
      <c r="E2565" t="s">
        <v>14</v>
      </c>
      <c r="F2565">
        <v>1</v>
      </c>
      <c r="G2565">
        <v>1</v>
      </c>
      <c r="H2565">
        <v>1</v>
      </c>
    </row>
    <row r="2566" spans="1:8" x14ac:dyDescent="0.3">
      <c r="A2566">
        <v>3</v>
      </c>
      <c r="B2566">
        <v>1</v>
      </c>
      <c r="C2566">
        <v>1</v>
      </c>
      <c r="D2566">
        <v>1</v>
      </c>
      <c r="E2566" t="s">
        <v>14</v>
      </c>
      <c r="F2566">
        <v>0</v>
      </c>
      <c r="G2566">
        <v>2</v>
      </c>
      <c r="H2566">
        <v>1</v>
      </c>
    </row>
    <row r="2567" spans="1:8" x14ac:dyDescent="0.3">
      <c r="A2567">
        <v>4</v>
      </c>
      <c r="B2567">
        <v>2</v>
      </c>
      <c r="C2567">
        <v>1</v>
      </c>
      <c r="D2567">
        <v>1</v>
      </c>
      <c r="E2567" t="s">
        <v>14</v>
      </c>
      <c r="F2567">
        <v>2</v>
      </c>
      <c r="G2567">
        <v>1</v>
      </c>
      <c r="H2567">
        <v>1</v>
      </c>
    </row>
    <row r="2568" spans="1:8" x14ac:dyDescent="0.3">
      <c r="A2568">
        <v>4</v>
      </c>
      <c r="B2568">
        <v>1</v>
      </c>
      <c r="C2568">
        <v>1</v>
      </c>
      <c r="D2568">
        <v>2</v>
      </c>
      <c r="E2568" t="s">
        <v>14</v>
      </c>
      <c r="F2568">
        <v>1</v>
      </c>
      <c r="G2568">
        <v>1</v>
      </c>
      <c r="H2568">
        <v>2</v>
      </c>
    </row>
    <row r="2569" spans="1:8" x14ac:dyDescent="0.3">
      <c r="A2569">
        <v>4</v>
      </c>
      <c r="B2569">
        <v>1</v>
      </c>
      <c r="C2569">
        <v>2</v>
      </c>
      <c r="D2569">
        <v>1</v>
      </c>
      <c r="E2569" t="s">
        <v>14</v>
      </c>
      <c r="F2569">
        <v>1</v>
      </c>
      <c r="G2569">
        <v>2</v>
      </c>
      <c r="H2569">
        <v>1</v>
      </c>
    </row>
    <row r="2570" spans="1:8" x14ac:dyDescent="0.3">
      <c r="A2570">
        <v>4</v>
      </c>
      <c r="B2570">
        <v>2</v>
      </c>
      <c r="C2570">
        <v>1</v>
      </c>
      <c r="D2570">
        <v>1</v>
      </c>
      <c r="E2570" t="s">
        <v>14</v>
      </c>
      <c r="F2570">
        <v>2</v>
      </c>
      <c r="G2570">
        <v>2</v>
      </c>
      <c r="H2570">
        <v>0</v>
      </c>
    </row>
    <row r="2571" spans="1:8" x14ac:dyDescent="0.3">
      <c r="A2571">
        <v>4</v>
      </c>
      <c r="B2571">
        <v>1</v>
      </c>
      <c r="C2571">
        <v>2</v>
      </c>
      <c r="D2571">
        <v>1</v>
      </c>
      <c r="E2571" t="s">
        <v>14</v>
      </c>
      <c r="F2571">
        <v>1</v>
      </c>
      <c r="G2571">
        <v>2</v>
      </c>
      <c r="H2571">
        <v>1</v>
      </c>
    </row>
    <row r="2572" spans="1:8" x14ac:dyDescent="0.3">
      <c r="A2572">
        <v>4</v>
      </c>
      <c r="B2572">
        <v>1</v>
      </c>
      <c r="C2572">
        <v>1</v>
      </c>
      <c r="D2572">
        <v>2</v>
      </c>
      <c r="E2572" t="s">
        <v>14</v>
      </c>
      <c r="F2572">
        <v>1</v>
      </c>
      <c r="G2572">
        <v>1</v>
      </c>
      <c r="H2572">
        <v>2</v>
      </c>
    </row>
    <row r="2573" spans="1:8" x14ac:dyDescent="0.3">
      <c r="A2573">
        <v>4</v>
      </c>
      <c r="B2573">
        <v>1</v>
      </c>
      <c r="C2573">
        <v>2</v>
      </c>
      <c r="D2573">
        <v>1</v>
      </c>
      <c r="E2573" t="s">
        <v>14</v>
      </c>
      <c r="F2573">
        <v>2</v>
      </c>
      <c r="G2573">
        <v>0</v>
      </c>
      <c r="H2573">
        <v>2</v>
      </c>
    </row>
    <row r="2574" spans="1:8" x14ac:dyDescent="0.3">
      <c r="A2574">
        <v>4</v>
      </c>
      <c r="B2574">
        <v>2</v>
      </c>
      <c r="C2574">
        <v>1</v>
      </c>
      <c r="D2574">
        <v>1</v>
      </c>
      <c r="E2574" t="s">
        <v>14</v>
      </c>
      <c r="F2574">
        <v>2</v>
      </c>
      <c r="G2574">
        <v>1</v>
      </c>
      <c r="H2574">
        <v>1</v>
      </c>
    </row>
    <row r="2575" spans="1:8" x14ac:dyDescent="0.3">
      <c r="A2575">
        <v>4</v>
      </c>
      <c r="B2575">
        <v>2</v>
      </c>
      <c r="C2575">
        <v>1</v>
      </c>
      <c r="D2575">
        <v>1</v>
      </c>
      <c r="E2575" t="s">
        <v>14</v>
      </c>
      <c r="F2575">
        <v>2</v>
      </c>
      <c r="G2575">
        <v>1</v>
      </c>
      <c r="H2575">
        <v>1</v>
      </c>
    </row>
    <row r="2576" spans="1:8" x14ac:dyDescent="0.3">
      <c r="A2576">
        <v>4</v>
      </c>
      <c r="B2576">
        <v>2</v>
      </c>
      <c r="C2576">
        <v>1</v>
      </c>
      <c r="D2576">
        <v>1</v>
      </c>
      <c r="E2576" t="s">
        <v>14</v>
      </c>
      <c r="F2576">
        <v>2</v>
      </c>
      <c r="G2576">
        <v>1</v>
      </c>
      <c r="H2576">
        <v>1</v>
      </c>
    </row>
    <row r="2577" spans="1:8" x14ac:dyDescent="0.3">
      <c r="A2577">
        <v>4</v>
      </c>
      <c r="B2577">
        <v>1</v>
      </c>
      <c r="C2577">
        <v>1</v>
      </c>
      <c r="D2577">
        <v>2</v>
      </c>
      <c r="E2577" t="s">
        <v>14</v>
      </c>
      <c r="F2577">
        <v>1</v>
      </c>
      <c r="G2577">
        <v>1</v>
      </c>
      <c r="H2577">
        <v>2</v>
      </c>
    </row>
    <row r="2578" spans="1:8" x14ac:dyDescent="0.3">
      <c r="A2578">
        <v>5</v>
      </c>
      <c r="B2578">
        <v>2</v>
      </c>
      <c r="C2578">
        <v>2</v>
      </c>
      <c r="D2578">
        <v>1</v>
      </c>
      <c r="E2578" t="s">
        <v>14</v>
      </c>
      <c r="F2578">
        <v>2</v>
      </c>
      <c r="G2578">
        <v>2</v>
      </c>
      <c r="H2578">
        <v>1</v>
      </c>
    </row>
    <row r="2579" spans="1:8" x14ac:dyDescent="0.3">
      <c r="A2579">
        <v>5</v>
      </c>
      <c r="B2579">
        <v>2</v>
      </c>
      <c r="C2579">
        <v>2</v>
      </c>
      <c r="D2579">
        <v>1</v>
      </c>
      <c r="E2579" t="s">
        <v>14</v>
      </c>
      <c r="F2579">
        <v>2</v>
      </c>
      <c r="G2579">
        <v>2</v>
      </c>
      <c r="H2579">
        <v>1</v>
      </c>
    </row>
    <row r="2580" spans="1:8" x14ac:dyDescent="0.3">
      <c r="A2580">
        <v>5</v>
      </c>
      <c r="B2580">
        <v>1</v>
      </c>
      <c r="C2580">
        <v>2</v>
      </c>
      <c r="D2580">
        <v>2</v>
      </c>
      <c r="E2580" t="s">
        <v>14</v>
      </c>
      <c r="F2580">
        <v>2</v>
      </c>
      <c r="G2580">
        <v>3</v>
      </c>
      <c r="H2580">
        <v>0</v>
      </c>
    </row>
    <row r="2581" spans="1:8" x14ac:dyDescent="0.3">
      <c r="A2581">
        <v>5</v>
      </c>
      <c r="B2581">
        <v>2</v>
      </c>
      <c r="C2581">
        <v>2</v>
      </c>
      <c r="D2581">
        <v>1</v>
      </c>
      <c r="E2581" t="s">
        <v>14</v>
      </c>
      <c r="F2581">
        <v>0</v>
      </c>
      <c r="G2581">
        <v>2</v>
      </c>
      <c r="H2581">
        <v>3</v>
      </c>
    </row>
    <row r="2582" spans="1:8" x14ac:dyDescent="0.3">
      <c r="A2582">
        <v>5</v>
      </c>
      <c r="B2582">
        <v>2</v>
      </c>
      <c r="C2582">
        <v>2</v>
      </c>
      <c r="D2582">
        <v>1</v>
      </c>
      <c r="E2582" t="s">
        <v>14</v>
      </c>
      <c r="F2582">
        <v>2</v>
      </c>
      <c r="G2582">
        <v>2</v>
      </c>
      <c r="H2582">
        <v>1</v>
      </c>
    </row>
    <row r="2583" spans="1:8" x14ac:dyDescent="0.3">
      <c r="A2583">
        <v>6</v>
      </c>
      <c r="B2583">
        <v>3</v>
      </c>
      <c r="C2583">
        <v>1</v>
      </c>
      <c r="D2583">
        <v>2</v>
      </c>
      <c r="E2583" t="s">
        <v>14</v>
      </c>
      <c r="F2583">
        <v>3</v>
      </c>
      <c r="G2583">
        <v>1</v>
      </c>
      <c r="H2583">
        <v>2</v>
      </c>
    </row>
    <row r="2584" spans="1:8" x14ac:dyDescent="0.3">
      <c r="A2584">
        <v>6</v>
      </c>
      <c r="B2584">
        <v>1</v>
      </c>
      <c r="C2584">
        <v>2</v>
      </c>
      <c r="D2584">
        <v>3</v>
      </c>
      <c r="E2584" t="s">
        <v>14</v>
      </c>
      <c r="F2584">
        <v>1</v>
      </c>
      <c r="G2584">
        <v>2</v>
      </c>
      <c r="H2584">
        <v>3</v>
      </c>
    </row>
    <row r="2585" spans="1:8" x14ac:dyDescent="0.3">
      <c r="A2585">
        <v>6</v>
      </c>
      <c r="B2585">
        <v>3</v>
      </c>
      <c r="C2585">
        <v>1</v>
      </c>
      <c r="D2585">
        <v>2</v>
      </c>
      <c r="E2585" t="s">
        <v>14</v>
      </c>
      <c r="F2585">
        <v>3</v>
      </c>
      <c r="G2585">
        <v>1</v>
      </c>
      <c r="H2585">
        <v>2</v>
      </c>
    </row>
    <row r="2586" spans="1:8" x14ac:dyDescent="0.3">
      <c r="A2586">
        <v>6</v>
      </c>
      <c r="B2586">
        <v>1</v>
      </c>
      <c r="C2586">
        <v>2</v>
      </c>
      <c r="D2586">
        <v>3</v>
      </c>
      <c r="E2586" t="s">
        <v>14</v>
      </c>
      <c r="F2586">
        <v>1</v>
      </c>
      <c r="G2586">
        <v>2</v>
      </c>
      <c r="H2586">
        <v>3</v>
      </c>
    </row>
    <row r="2587" spans="1:8" x14ac:dyDescent="0.3">
      <c r="A2587">
        <v>7</v>
      </c>
      <c r="B2587">
        <v>3</v>
      </c>
      <c r="C2587">
        <v>2</v>
      </c>
      <c r="D2587">
        <v>2</v>
      </c>
      <c r="E2587" t="s">
        <v>14</v>
      </c>
      <c r="F2587">
        <v>3</v>
      </c>
      <c r="G2587">
        <v>2</v>
      </c>
      <c r="H2587">
        <v>2</v>
      </c>
    </row>
    <row r="2588" spans="1:8" x14ac:dyDescent="0.3">
      <c r="A2588">
        <v>7</v>
      </c>
      <c r="B2588">
        <v>2</v>
      </c>
      <c r="C2588">
        <v>2</v>
      </c>
      <c r="D2588">
        <v>3</v>
      </c>
      <c r="E2588" t="s">
        <v>14</v>
      </c>
      <c r="F2588">
        <v>2</v>
      </c>
      <c r="G2588">
        <v>2</v>
      </c>
      <c r="H2588">
        <v>3</v>
      </c>
    </row>
    <row r="2589" spans="1:8" x14ac:dyDescent="0.3">
      <c r="A2589">
        <v>7</v>
      </c>
      <c r="B2589">
        <v>2</v>
      </c>
      <c r="C2589">
        <v>2</v>
      </c>
      <c r="D2589">
        <v>3</v>
      </c>
      <c r="E2589" t="s">
        <v>14</v>
      </c>
      <c r="F2589">
        <v>2</v>
      </c>
      <c r="G2589">
        <v>2</v>
      </c>
      <c r="H2589">
        <v>3</v>
      </c>
    </row>
    <row r="2590" spans="1:8" x14ac:dyDescent="0.3">
      <c r="A2590">
        <v>8</v>
      </c>
      <c r="B2590">
        <v>2</v>
      </c>
      <c r="C2590">
        <v>3</v>
      </c>
      <c r="D2590">
        <v>3</v>
      </c>
      <c r="E2590" t="s">
        <v>14</v>
      </c>
      <c r="F2590">
        <v>2</v>
      </c>
      <c r="G2590">
        <v>3</v>
      </c>
      <c r="H2590">
        <v>3</v>
      </c>
    </row>
    <row r="2591" spans="1:8" x14ac:dyDescent="0.3">
      <c r="A2591">
        <v>2</v>
      </c>
      <c r="B2591">
        <v>1</v>
      </c>
      <c r="C2591">
        <v>1</v>
      </c>
      <c r="D2591">
        <v>0</v>
      </c>
      <c r="E2591" t="s">
        <v>14</v>
      </c>
      <c r="F2591">
        <v>1</v>
      </c>
      <c r="G2591">
        <v>1</v>
      </c>
      <c r="H2591">
        <v>0</v>
      </c>
    </row>
    <row r="2592" spans="1:8" x14ac:dyDescent="0.3">
      <c r="A2592">
        <v>2</v>
      </c>
      <c r="B2592">
        <v>1</v>
      </c>
      <c r="C2592">
        <v>0</v>
      </c>
      <c r="D2592">
        <v>1</v>
      </c>
      <c r="E2592" t="s">
        <v>14</v>
      </c>
      <c r="F2592">
        <v>2</v>
      </c>
      <c r="G2592">
        <v>0</v>
      </c>
      <c r="H2592">
        <v>0</v>
      </c>
    </row>
    <row r="2593" spans="1:8" x14ac:dyDescent="0.3">
      <c r="A2593">
        <v>2</v>
      </c>
      <c r="B2593">
        <v>0</v>
      </c>
      <c r="C2593">
        <v>1</v>
      </c>
      <c r="D2593">
        <v>1</v>
      </c>
      <c r="E2593" t="s">
        <v>14</v>
      </c>
      <c r="F2593">
        <v>0</v>
      </c>
      <c r="G2593">
        <v>0</v>
      </c>
      <c r="H2593">
        <v>2</v>
      </c>
    </row>
    <row r="2594" spans="1:8" x14ac:dyDescent="0.3">
      <c r="A2594">
        <v>2</v>
      </c>
      <c r="B2594">
        <v>1</v>
      </c>
      <c r="C2594">
        <v>0</v>
      </c>
      <c r="D2594">
        <v>1</v>
      </c>
      <c r="E2594" t="s">
        <v>14</v>
      </c>
      <c r="F2594">
        <v>2</v>
      </c>
      <c r="G2594">
        <v>0</v>
      </c>
      <c r="H2594">
        <v>0</v>
      </c>
    </row>
    <row r="2595" spans="1:8" x14ac:dyDescent="0.3">
      <c r="A2595">
        <v>2</v>
      </c>
      <c r="B2595">
        <v>1</v>
      </c>
      <c r="C2595">
        <v>0</v>
      </c>
      <c r="D2595">
        <v>1</v>
      </c>
      <c r="E2595" t="s">
        <v>14</v>
      </c>
      <c r="F2595">
        <v>0</v>
      </c>
      <c r="G2595">
        <v>0</v>
      </c>
      <c r="H2595">
        <v>2</v>
      </c>
    </row>
    <row r="2596" spans="1:8" x14ac:dyDescent="0.3">
      <c r="A2596">
        <v>3</v>
      </c>
      <c r="B2596">
        <v>1</v>
      </c>
      <c r="C2596">
        <v>1</v>
      </c>
      <c r="D2596">
        <v>1</v>
      </c>
      <c r="E2596" t="s">
        <v>14</v>
      </c>
      <c r="F2596">
        <v>1</v>
      </c>
      <c r="G2596">
        <v>1</v>
      </c>
      <c r="H2596">
        <v>1</v>
      </c>
    </row>
    <row r="2597" spans="1:8" x14ac:dyDescent="0.3">
      <c r="A2597">
        <v>3</v>
      </c>
      <c r="B2597">
        <v>1</v>
      </c>
      <c r="C2597">
        <v>1</v>
      </c>
      <c r="D2597">
        <v>1</v>
      </c>
      <c r="E2597" t="s">
        <v>14</v>
      </c>
      <c r="F2597">
        <v>1</v>
      </c>
      <c r="G2597">
        <v>1</v>
      </c>
      <c r="H2597">
        <v>1</v>
      </c>
    </row>
    <row r="2598" spans="1:8" x14ac:dyDescent="0.3">
      <c r="A2598">
        <v>3</v>
      </c>
      <c r="B2598">
        <v>1</v>
      </c>
      <c r="C2598">
        <v>1</v>
      </c>
      <c r="D2598">
        <v>1</v>
      </c>
      <c r="E2598" t="s">
        <v>14</v>
      </c>
      <c r="F2598">
        <v>1</v>
      </c>
      <c r="G2598">
        <v>1</v>
      </c>
      <c r="H2598">
        <v>1</v>
      </c>
    </row>
    <row r="2599" spans="1:8" x14ac:dyDescent="0.3">
      <c r="A2599">
        <v>3</v>
      </c>
      <c r="B2599">
        <v>1</v>
      </c>
      <c r="C2599">
        <v>1</v>
      </c>
      <c r="D2599">
        <v>1</v>
      </c>
      <c r="E2599" t="s">
        <v>14</v>
      </c>
      <c r="F2599">
        <v>0</v>
      </c>
      <c r="G2599">
        <v>2</v>
      </c>
      <c r="H2599">
        <v>1</v>
      </c>
    </row>
    <row r="2600" spans="1:8" x14ac:dyDescent="0.3">
      <c r="A2600">
        <v>3</v>
      </c>
      <c r="B2600">
        <v>2</v>
      </c>
      <c r="C2600">
        <v>1</v>
      </c>
      <c r="D2600">
        <v>0</v>
      </c>
      <c r="E2600" t="s">
        <v>14</v>
      </c>
      <c r="F2600">
        <v>1</v>
      </c>
      <c r="G2600">
        <v>0</v>
      </c>
      <c r="H2600">
        <v>2</v>
      </c>
    </row>
    <row r="2601" spans="1:8" x14ac:dyDescent="0.3">
      <c r="A2601">
        <v>3</v>
      </c>
      <c r="B2601">
        <v>1</v>
      </c>
      <c r="C2601">
        <v>1</v>
      </c>
      <c r="D2601">
        <v>1</v>
      </c>
      <c r="E2601" t="s">
        <v>14</v>
      </c>
      <c r="F2601">
        <v>2</v>
      </c>
      <c r="G2601">
        <v>1</v>
      </c>
      <c r="H2601">
        <v>0</v>
      </c>
    </row>
    <row r="2602" spans="1:8" x14ac:dyDescent="0.3">
      <c r="A2602">
        <v>3</v>
      </c>
      <c r="B2602">
        <v>1</v>
      </c>
      <c r="C2602">
        <v>1</v>
      </c>
      <c r="D2602">
        <v>1</v>
      </c>
      <c r="E2602" t="s">
        <v>14</v>
      </c>
      <c r="F2602">
        <v>2</v>
      </c>
      <c r="G2602">
        <v>1</v>
      </c>
      <c r="H2602">
        <v>0</v>
      </c>
    </row>
    <row r="2603" spans="1:8" x14ac:dyDescent="0.3">
      <c r="A2603">
        <v>3</v>
      </c>
      <c r="B2603">
        <v>1</v>
      </c>
      <c r="C2603">
        <v>1</v>
      </c>
      <c r="D2603">
        <v>1</v>
      </c>
      <c r="E2603" t="s">
        <v>14</v>
      </c>
      <c r="F2603">
        <v>1</v>
      </c>
      <c r="G2603">
        <v>1</v>
      </c>
      <c r="H2603">
        <v>1</v>
      </c>
    </row>
    <row r="2604" spans="1:8" x14ac:dyDescent="0.3">
      <c r="A2604">
        <v>3</v>
      </c>
      <c r="B2604">
        <v>1</v>
      </c>
      <c r="C2604">
        <v>1</v>
      </c>
      <c r="D2604">
        <v>1</v>
      </c>
      <c r="E2604" t="s">
        <v>14</v>
      </c>
      <c r="F2604">
        <v>2</v>
      </c>
      <c r="G2604">
        <v>1</v>
      </c>
      <c r="H2604">
        <v>0</v>
      </c>
    </row>
    <row r="2605" spans="1:8" x14ac:dyDescent="0.3">
      <c r="A2605">
        <v>3</v>
      </c>
      <c r="B2605">
        <v>0</v>
      </c>
      <c r="C2605">
        <v>2</v>
      </c>
      <c r="D2605">
        <v>1</v>
      </c>
      <c r="E2605" t="s">
        <v>14</v>
      </c>
      <c r="F2605">
        <v>0</v>
      </c>
      <c r="G2605">
        <v>2</v>
      </c>
      <c r="H2605">
        <v>1</v>
      </c>
    </row>
    <row r="2606" spans="1:8" x14ac:dyDescent="0.3">
      <c r="A2606">
        <v>3</v>
      </c>
      <c r="B2606">
        <v>2</v>
      </c>
      <c r="C2606">
        <v>1</v>
      </c>
      <c r="D2606">
        <v>0</v>
      </c>
      <c r="E2606" t="s">
        <v>14</v>
      </c>
      <c r="F2606">
        <v>2</v>
      </c>
      <c r="G2606">
        <v>1</v>
      </c>
      <c r="H2606">
        <v>0</v>
      </c>
    </row>
    <row r="2607" spans="1:8" x14ac:dyDescent="0.3">
      <c r="A2607">
        <v>3</v>
      </c>
      <c r="B2607">
        <v>2</v>
      </c>
      <c r="C2607">
        <v>1</v>
      </c>
      <c r="D2607">
        <v>0</v>
      </c>
      <c r="E2607" t="s">
        <v>14</v>
      </c>
      <c r="F2607">
        <v>2</v>
      </c>
      <c r="G2607">
        <v>1</v>
      </c>
      <c r="H2607">
        <v>0</v>
      </c>
    </row>
    <row r="2608" spans="1:8" x14ac:dyDescent="0.3">
      <c r="A2608">
        <v>3</v>
      </c>
      <c r="B2608">
        <v>1</v>
      </c>
      <c r="C2608">
        <v>1</v>
      </c>
      <c r="D2608">
        <v>1</v>
      </c>
      <c r="E2608" t="s">
        <v>14</v>
      </c>
      <c r="F2608">
        <v>1</v>
      </c>
      <c r="G2608">
        <v>1</v>
      </c>
      <c r="H2608">
        <v>1</v>
      </c>
    </row>
    <row r="2609" spans="1:8" x14ac:dyDescent="0.3">
      <c r="A2609">
        <v>3</v>
      </c>
      <c r="B2609">
        <v>2</v>
      </c>
      <c r="C2609">
        <v>1</v>
      </c>
      <c r="D2609">
        <v>0</v>
      </c>
      <c r="E2609" t="s">
        <v>14</v>
      </c>
      <c r="F2609">
        <v>2</v>
      </c>
      <c r="G2609">
        <v>1</v>
      </c>
      <c r="H2609">
        <v>0</v>
      </c>
    </row>
    <row r="2610" spans="1:8" x14ac:dyDescent="0.3">
      <c r="A2610">
        <v>3</v>
      </c>
      <c r="B2610">
        <v>0</v>
      </c>
      <c r="C2610">
        <v>2</v>
      </c>
      <c r="D2610">
        <v>1</v>
      </c>
      <c r="E2610" t="s">
        <v>14</v>
      </c>
      <c r="F2610">
        <v>0</v>
      </c>
      <c r="G2610">
        <v>2</v>
      </c>
      <c r="H2610">
        <v>1</v>
      </c>
    </row>
    <row r="2611" spans="1:8" x14ac:dyDescent="0.3">
      <c r="A2611">
        <v>3</v>
      </c>
      <c r="B2611">
        <v>1</v>
      </c>
      <c r="C2611">
        <v>1</v>
      </c>
      <c r="D2611">
        <v>1</v>
      </c>
      <c r="E2611" t="s">
        <v>14</v>
      </c>
      <c r="F2611">
        <v>0</v>
      </c>
      <c r="G2611">
        <v>2</v>
      </c>
      <c r="H2611">
        <v>1</v>
      </c>
    </row>
    <row r="2612" spans="1:8" x14ac:dyDescent="0.3">
      <c r="A2612">
        <v>3</v>
      </c>
      <c r="B2612">
        <v>1</v>
      </c>
      <c r="C2612">
        <v>1</v>
      </c>
      <c r="D2612">
        <v>1</v>
      </c>
      <c r="E2612" t="s">
        <v>14</v>
      </c>
      <c r="F2612">
        <v>1</v>
      </c>
      <c r="G2612">
        <v>1</v>
      </c>
      <c r="H2612">
        <v>1</v>
      </c>
    </row>
    <row r="2613" spans="1:8" x14ac:dyDescent="0.3">
      <c r="A2613">
        <v>3</v>
      </c>
      <c r="B2613">
        <v>1</v>
      </c>
      <c r="C2613">
        <v>1</v>
      </c>
      <c r="D2613">
        <v>1</v>
      </c>
      <c r="E2613" t="s">
        <v>14</v>
      </c>
      <c r="F2613">
        <v>1</v>
      </c>
      <c r="G2613">
        <v>1</v>
      </c>
      <c r="H2613">
        <v>1</v>
      </c>
    </row>
    <row r="2614" spans="1:8" x14ac:dyDescent="0.3">
      <c r="A2614">
        <v>3</v>
      </c>
      <c r="B2614">
        <v>1</v>
      </c>
      <c r="C2614">
        <v>1</v>
      </c>
      <c r="D2614">
        <v>1</v>
      </c>
      <c r="E2614" t="s">
        <v>14</v>
      </c>
      <c r="F2614">
        <v>2</v>
      </c>
      <c r="G2614">
        <v>1</v>
      </c>
      <c r="H2614">
        <v>0</v>
      </c>
    </row>
    <row r="2615" spans="1:8" x14ac:dyDescent="0.3">
      <c r="A2615">
        <v>3</v>
      </c>
      <c r="B2615">
        <v>1</v>
      </c>
      <c r="C2615">
        <v>1</v>
      </c>
      <c r="D2615">
        <v>1</v>
      </c>
      <c r="E2615" t="s">
        <v>14</v>
      </c>
      <c r="F2615">
        <v>1</v>
      </c>
      <c r="G2615">
        <v>1</v>
      </c>
      <c r="H2615">
        <v>1</v>
      </c>
    </row>
    <row r="2616" spans="1:8" x14ac:dyDescent="0.3">
      <c r="A2616">
        <v>3</v>
      </c>
      <c r="B2616">
        <v>1</v>
      </c>
      <c r="C2616">
        <v>1</v>
      </c>
      <c r="D2616">
        <v>1</v>
      </c>
      <c r="E2616" t="s">
        <v>14</v>
      </c>
      <c r="F2616">
        <v>1</v>
      </c>
      <c r="G2616">
        <v>1</v>
      </c>
      <c r="H2616">
        <v>1</v>
      </c>
    </row>
    <row r="2617" spans="1:8" x14ac:dyDescent="0.3">
      <c r="A2617">
        <v>3</v>
      </c>
      <c r="B2617">
        <v>1</v>
      </c>
      <c r="C2617">
        <v>1</v>
      </c>
      <c r="D2617">
        <v>1</v>
      </c>
      <c r="E2617" t="s">
        <v>14</v>
      </c>
      <c r="F2617">
        <v>1</v>
      </c>
      <c r="G2617">
        <v>1</v>
      </c>
      <c r="H2617">
        <v>1</v>
      </c>
    </row>
    <row r="2618" spans="1:8" x14ac:dyDescent="0.3">
      <c r="A2618">
        <v>3</v>
      </c>
      <c r="B2618">
        <v>1</v>
      </c>
      <c r="C2618">
        <v>1</v>
      </c>
      <c r="D2618">
        <v>1</v>
      </c>
      <c r="E2618" t="s">
        <v>14</v>
      </c>
      <c r="F2618">
        <v>1</v>
      </c>
      <c r="G2618">
        <v>0</v>
      </c>
      <c r="H2618">
        <v>2</v>
      </c>
    </row>
    <row r="2619" spans="1:8" x14ac:dyDescent="0.3">
      <c r="A2619">
        <v>3</v>
      </c>
      <c r="B2619">
        <v>1</v>
      </c>
      <c r="C2619">
        <v>1</v>
      </c>
      <c r="D2619">
        <v>1</v>
      </c>
      <c r="E2619" t="s">
        <v>14</v>
      </c>
      <c r="F2619">
        <v>0</v>
      </c>
      <c r="G2619">
        <v>2</v>
      </c>
      <c r="H2619">
        <v>1</v>
      </c>
    </row>
    <row r="2620" spans="1:8" x14ac:dyDescent="0.3">
      <c r="A2620">
        <v>3</v>
      </c>
      <c r="B2620">
        <v>1</v>
      </c>
      <c r="C2620">
        <v>0</v>
      </c>
      <c r="D2620">
        <v>2</v>
      </c>
      <c r="E2620" t="s">
        <v>14</v>
      </c>
      <c r="F2620">
        <v>0</v>
      </c>
      <c r="G2620">
        <v>2</v>
      </c>
      <c r="H2620">
        <v>1</v>
      </c>
    </row>
    <row r="2621" spans="1:8" x14ac:dyDescent="0.3">
      <c r="A2621">
        <v>3</v>
      </c>
      <c r="B2621">
        <v>1</v>
      </c>
      <c r="C2621">
        <v>1</v>
      </c>
      <c r="D2621">
        <v>1</v>
      </c>
      <c r="E2621" t="s">
        <v>14</v>
      </c>
      <c r="F2621">
        <v>2</v>
      </c>
      <c r="G2621">
        <v>1</v>
      </c>
      <c r="H2621">
        <v>0</v>
      </c>
    </row>
    <row r="2622" spans="1:8" x14ac:dyDescent="0.3">
      <c r="A2622">
        <v>3</v>
      </c>
      <c r="B2622">
        <v>1</v>
      </c>
      <c r="C2622">
        <v>1</v>
      </c>
      <c r="D2622">
        <v>1</v>
      </c>
      <c r="E2622" t="s">
        <v>14</v>
      </c>
      <c r="F2622">
        <v>2</v>
      </c>
      <c r="G2622">
        <v>1</v>
      </c>
      <c r="H2622">
        <v>0</v>
      </c>
    </row>
    <row r="2623" spans="1:8" x14ac:dyDescent="0.3">
      <c r="A2623">
        <v>3</v>
      </c>
      <c r="B2623">
        <v>2</v>
      </c>
      <c r="C2623">
        <v>1</v>
      </c>
      <c r="D2623">
        <v>0</v>
      </c>
      <c r="E2623" t="s">
        <v>14</v>
      </c>
      <c r="F2623">
        <v>2</v>
      </c>
      <c r="G2623">
        <v>1</v>
      </c>
      <c r="H2623">
        <v>0</v>
      </c>
    </row>
    <row r="2624" spans="1:8" x14ac:dyDescent="0.3">
      <c r="A2624">
        <v>3</v>
      </c>
      <c r="B2624">
        <v>1</v>
      </c>
      <c r="C2624">
        <v>1</v>
      </c>
      <c r="D2624">
        <v>1</v>
      </c>
      <c r="E2624" t="s">
        <v>14</v>
      </c>
      <c r="F2624">
        <v>1</v>
      </c>
      <c r="G2624">
        <v>0</v>
      </c>
      <c r="H2624">
        <v>2</v>
      </c>
    </row>
    <row r="2625" spans="1:8" x14ac:dyDescent="0.3">
      <c r="A2625">
        <v>3</v>
      </c>
      <c r="B2625">
        <v>1</v>
      </c>
      <c r="C2625">
        <v>0</v>
      </c>
      <c r="D2625">
        <v>2</v>
      </c>
      <c r="E2625" t="s">
        <v>14</v>
      </c>
      <c r="F2625">
        <v>1</v>
      </c>
      <c r="G2625">
        <v>0</v>
      </c>
      <c r="H2625">
        <v>2</v>
      </c>
    </row>
    <row r="2626" spans="1:8" x14ac:dyDescent="0.3">
      <c r="A2626">
        <v>3</v>
      </c>
      <c r="B2626">
        <v>1</v>
      </c>
      <c r="C2626">
        <v>1</v>
      </c>
      <c r="D2626">
        <v>1</v>
      </c>
      <c r="E2626" t="s">
        <v>14</v>
      </c>
      <c r="F2626">
        <v>1</v>
      </c>
      <c r="G2626">
        <v>1</v>
      </c>
      <c r="H2626">
        <v>1</v>
      </c>
    </row>
    <row r="2627" spans="1:8" x14ac:dyDescent="0.3">
      <c r="A2627">
        <v>3</v>
      </c>
      <c r="B2627">
        <v>1</v>
      </c>
      <c r="C2627">
        <v>1</v>
      </c>
      <c r="D2627">
        <v>1</v>
      </c>
      <c r="E2627" t="s">
        <v>14</v>
      </c>
      <c r="F2627">
        <v>0</v>
      </c>
      <c r="G2627">
        <v>2</v>
      </c>
      <c r="H2627">
        <v>1</v>
      </c>
    </row>
    <row r="2628" spans="1:8" x14ac:dyDescent="0.3">
      <c r="A2628">
        <v>3</v>
      </c>
      <c r="B2628">
        <v>1</v>
      </c>
      <c r="C2628">
        <v>0</v>
      </c>
      <c r="D2628">
        <v>2</v>
      </c>
      <c r="E2628" t="s">
        <v>14</v>
      </c>
      <c r="F2628">
        <v>1</v>
      </c>
      <c r="G2628">
        <v>0</v>
      </c>
      <c r="H2628">
        <v>2</v>
      </c>
    </row>
    <row r="2629" spans="1:8" x14ac:dyDescent="0.3">
      <c r="A2629">
        <v>3</v>
      </c>
      <c r="B2629">
        <v>1</v>
      </c>
      <c r="C2629">
        <v>1</v>
      </c>
      <c r="D2629">
        <v>1</v>
      </c>
      <c r="E2629" t="s">
        <v>14</v>
      </c>
      <c r="F2629">
        <v>1</v>
      </c>
      <c r="G2629">
        <v>1</v>
      </c>
      <c r="H2629">
        <v>1</v>
      </c>
    </row>
    <row r="2630" spans="1:8" x14ac:dyDescent="0.3">
      <c r="A2630">
        <v>3</v>
      </c>
      <c r="B2630">
        <v>1</v>
      </c>
      <c r="C2630">
        <v>1</v>
      </c>
      <c r="D2630">
        <v>1</v>
      </c>
      <c r="E2630" t="s">
        <v>14</v>
      </c>
      <c r="F2630">
        <v>0</v>
      </c>
      <c r="G2630">
        <v>2</v>
      </c>
      <c r="H2630">
        <v>1</v>
      </c>
    </row>
    <row r="2631" spans="1:8" x14ac:dyDescent="0.3">
      <c r="A2631">
        <v>3</v>
      </c>
      <c r="B2631">
        <v>1</v>
      </c>
      <c r="C2631">
        <v>1</v>
      </c>
      <c r="D2631">
        <v>1</v>
      </c>
      <c r="E2631" t="s">
        <v>14</v>
      </c>
      <c r="F2631">
        <v>2</v>
      </c>
      <c r="G2631">
        <v>1</v>
      </c>
      <c r="H2631">
        <v>0</v>
      </c>
    </row>
    <row r="2632" spans="1:8" x14ac:dyDescent="0.3">
      <c r="A2632">
        <v>3</v>
      </c>
      <c r="B2632">
        <v>1</v>
      </c>
      <c r="C2632">
        <v>0</v>
      </c>
      <c r="D2632">
        <v>2</v>
      </c>
      <c r="E2632" t="s">
        <v>14</v>
      </c>
      <c r="F2632">
        <v>0</v>
      </c>
      <c r="G2632">
        <v>2</v>
      </c>
      <c r="H2632">
        <v>1</v>
      </c>
    </row>
    <row r="2633" spans="1:8" x14ac:dyDescent="0.3">
      <c r="A2633">
        <v>3</v>
      </c>
      <c r="B2633">
        <v>1</v>
      </c>
      <c r="C2633">
        <v>1</v>
      </c>
      <c r="D2633">
        <v>1</v>
      </c>
      <c r="E2633" t="s">
        <v>14</v>
      </c>
      <c r="F2633">
        <v>0</v>
      </c>
      <c r="G2633">
        <v>2</v>
      </c>
      <c r="H2633">
        <v>1</v>
      </c>
    </row>
    <row r="2634" spans="1:8" x14ac:dyDescent="0.3">
      <c r="A2634">
        <v>3</v>
      </c>
      <c r="B2634">
        <v>2</v>
      </c>
      <c r="C2634">
        <v>1</v>
      </c>
      <c r="D2634">
        <v>0</v>
      </c>
      <c r="E2634" t="s">
        <v>14</v>
      </c>
      <c r="F2634">
        <v>1</v>
      </c>
      <c r="G2634">
        <v>0</v>
      </c>
      <c r="H2634">
        <v>2</v>
      </c>
    </row>
    <row r="2635" spans="1:8" x14ac:dyDescent="0.3">
      <c r="A2635">
        <v>3</v>
      </c>
      <c r="B2635">
        <v>0</v>
      </c>
      <c r="C2635">
        <v>2</v>
      </c>
      <c r="D2635">
        <v>1</v>
      </c>
      <c r="E2635" t="s">
        <v>14</v>
      </c>
      <c r="F2635">
        <v>0</v>
      </c>
      <c r="G2635">
        <v>2</v>
      </c>
      <c r="H2635">
        <v>1</v>
      </c>
    </row>
    <row r="2636" spans="1:8" x14ac:dyDescent="0.3">
      <c r="A2636">
        <v>4</v>
      </c>
      <c r="B2636">
        <v>1</v>
      </c>
      <c r="C2636">
        <v>1</v>
      </c>
      <c r="D2636">
        <v>2</v>
      </c>
      <c r="E2636" t="s">
        <v>14</v>
      </c>
      <c r="F2636">
        <v>1</v>
      </c>
      <c r="G2636">
        <v>1</v>
      </c>
      <c r="H2636">
        <v>2</v>
      </c>
    </row>
    <row r="2637" spans="1:8" x14ac:dyDescent="0.3">
      <c r="A2637">
        <v>4</v>
      </c>
      <c r="B2637">
        <v>1</v>
      </c>
      <c r="C2637">
        <v>1</v>
      </c>
      <c r="D2637">
        <v>2</v>
      </c>
      <c r="E2637" t="s">
        <v>14</v>
      </c>
      <c r="F2637">
        <v>1</v>
      </c>
      <c r="G2637">
        <v>1</v>
      </c>
      <c r="H2637">
        <v>2</v>
      </c>
    </row>
    <row r="2638" spans="1:8" x14ac:dyDescent="0.3">
      <c r="A2638">
        <v>4</v>
      </c>
      <c r="B2638">
        <v>2</v>
      </c>
      <c r="C2638">
        <v>1</v>
      </c>
      <c r="D2638">
        <v>1</v>
      </c>
      <c r="E2638" t="s">
        <v>14</v>
      </c>
      <c r="F2638">
        <v>2</v>
      </c>
      <c r="G2638">
        <v>2</v>
      </c>
      <c r="H2638">
        <v>0</v>
      </c>
    </row>
    <row r="2639" spans="1:8" x14ac:dyDescent="0.3">
      <c r="A2639">
        <v>4</v>
      </c>
      <c r="B2639">
        <v>1</v>
      </c>
      <c r="C2639">
        <v>1</v>
      </c>
      <c r="D2639">
        <v>2</v>
      </c>
      <c r="E2639" t="s">
        <v>14</v>
      </c>
      <c r="F2639">
        <v>1</v>
      </c>
      <c r="G2639">
        <v>1</v>
      </c>
      <c r="H2639">
        <v>2</v>
      </c>
    </row>
    <row r="2640" spans="1:8" x14ac:dyDescent="0.3">
      <c r="A2640">
        <v>4</v>
      </c>
      <c r="B2640">
        <v>1</v>
      </c>
      <c r="C2640">
        <v>2</v>
      </c>
      <c r="D2640">
        <v>1</v>
      </c>
      <c r="E2640" t="s">
        <v>14</v>
      </c>
      <c r="F2640">
        <v>0</v>
      </c>
      <c r="G2640">
        <v>2</v>
      </c>
      <c r="H2640">
        <v>2</v>
      </c>
    </row>
    <row r="2641" spans="1:8" x14ac:dyDescent="0.3">
      <c r="A2641">
        <v>4</v>
      </c>
      <c r="B2641">
        <v>1</v>
      </c>
      <c r="C2641">
        <v>2</v>
      </c>
      <c r="D2641">
        <v>1</v>
      </c>
      <c r="E2641" t="s">
        <v>14</v>
      </c>
      <c r="F2641">
        <v>2</v>
      </c>
      <c r="G2641">
        <v>0</v>
      </c>
      <c r="H2641">
        <v>2</v>
      </c>
    </row>
    <row r="2642" spans="1:8" x14ac:dyDescent="0.3">
      <c r="A2642">
        <v>4</v>
      </c>
      <c r="B2642">
        <v>2</v>
      </c>
      <c r="C2642">
        <v>1</v>
      </c>
      <c r="D2642">
        <v>1</v>
      </c>
      <c r="E2642" t="s">
        <v>14</v>
      </c>
      <c r="F2642">
        <v>2</v>
      </c>
      <c r="G2642">
        <v>1</v>
      </c>
      <c r="H2642">
        <v>1</v>
      </c>
    </row>
    <row r="2643" spans="1:8" x14ac:dyDescent="0.3">
      <c r="A2643">
        <v>4</v>
      </c>
      <c r="B2643">
        <v>1</v>
      </c>
      <c r="C2643">
        <v>2</v>
      </c>
      <c r="D2643">
        <v>1</v>
      </c>
      <c r="E2643" t="s">
        <v>14</v>
      </c>
      <c r="F2643">
        <v>0</v>
      </c>
      <c r="G2643">
        <v>2</v>
      </c>
      <c r="H2643">
        <v>2</v>
      </c>
    </row>
    <row r="2644" spans="1:8" x14ac:dyDescent="0.3">
      <c r="A2644">
        <v>4</v>
      </c>
      <c r="B2644">
        <v>1</v>
      </c>
      <c r="C2644">
        <v>2</v>
      </c>
      <c r="D2644">
        <v>1</v>
      </c>
      <c r="E2644" t="s">
        <v>14</v>
      </c>
      <c r="F2644">
        <v>1</v>
      </c>
      <c r="G2644">
        <v>2</v>
      </c>
      <c r="H2644">
        <v>1</v>
      </c>
    </row>
    <row r="2645" spans="1:8" x14ac:dyDescent="0.3">
      <c r="A2645">
        <v>4</v>
      </c>
      <c r="B2645">
        <v>2</v>
      </c>
      <c r="C2645">
        <v>1</v>
      </c>
      <c r="D2645">
        <v>1</v>
      </c>
      <c r="E2645" t="s">
        <v>14</v>
      </c>
      <c r="F2645">
        <v>0</v>
      </c>
      <c r="G2645">
        <v>2</v>
      </c>
      <c r="H2645">
        <v>2</v>
      </c>
    </row>
    <row r="2646" spans="1:8" x14ac:dyDescent="0.3">
      <c r="A2646">
        <v>5</v>
      </c>
      <c r="B2646">
        <v>1</v>
      </c>
      <c r="C2646">
        <v>2</v>
      </c>
      <c r="D2646">
        <v>2</v>
      </c>
      <c r="E2646" t="s">
        <v>14</v>
      </c>
      <c r="F2646">
        <v>2</v>
      </c>
      <c r="G2646">
        <v>3</v>
      </c>
      <c r="H2646">
        <v>0</v>
      </c>
    </row>
    <row r="2647" spans="1:8" x14ac:dyDescent="0.3">
      <c r="A2647">
        <v>5</v>
      </c>
      <c r="B2647">
        <v>2</v>
      </c>
      <c r="C2647">
        <v>2</v>
      </c>
      <c r="D2647">
        <v>1</v>
      </c>
      <c r="E2647" t="s">
        <v>14</v>
      </c>
      <c r="F2647">
        <v>2</v>
      </c>
      <c r="G2647">
        <v>2</v>
      </c>
      <c r="H2647">
        <v>1</v>
      </c>
    </row>
    <row r="2648" spans="1:8" x14ac:dyDescent="0.3">
      <c r="A2648">
        <v>5</v>
      </c>
      <c r="B2648">
        <v>2</v>
      </c>
      <c r="C2648">
        <v>1</v>
      </c>
      <c r="D2648">
        <v>2</v>
      </c>
      <c r="E2648" t="s">
        <v>14</v>
      </c>
      <c r="F2648">
        <v>2</v>
      </c>
      <c r="G2648">
        <v>1</v>
      </c>
      <c r="H2648">
        <v>2</v>
      </c>
    </row>
    <row r="2649" spans="1:8" x14ac:dyDescent="0.3">
      <c r="A2649">
        <v>5</v>
      </c>
      <c r="B2649">
        <v>1</v>
      </c>
      <c r="C2649">
        <v>2</v>
      </c>
      <c r="D2649">
        <v>2</v>
      </c>
      <c r="E2649" t="s">
        <v>14</v>
      </c>
      <c r="F2649">
        <v>2</v>
      </c>
      <c r="G2649">
        <v>3</v>
      </c>
      <c r="H2649">
        <v>0</v>
      </c>
    </row>
    <row r="2650" spans="1:8" x14ac:dyDescent="0.3">
      <c r="A2650">
        <v>6</v>
      </c>
      <c r="B2650">
        <v>1</v>
      </c>
      <c r="C2650">
        <v>2</v>
      </c>
      <c r="D2650">
        <v>3</v>
      </c>
      <c r="E2650" t="s">
        <v>14</v>
      </c>
      <c r="F2650">
        <v>1</v>
      </c>
      <c r="G2650">
        <v>2</v>
      </c>
      <c r="H2650">
        <v>3</v>
      </c>
    </row>
    <row r="2651" spans="1:8" x14ac:dyDescent="0.3">
      <c r="A2651">
        <v>6</v>
      </c>
      <c r="B2651">
        <v>3</v>
      </c>
      <c r="C2651">
        <v>1</v>
      </c>
      <c r="D2651">
        <v>2</v>
      </c>
      <c r="E2651" t="s">
        <v>14</v>
      </c>
      <c r="F2651">
        <v>3</v>
      </c>
      <c r="G2651">
        <v>1</v>
      </c>
      <c r="H2651">
        <v>2</v>
      </c>
    </row>
    <row r="2652" spans="1:8" x14ac:dyDescent="0.3">
      <c r="A2652">
        <v>7</v>
      </c>
      <c r="B2652">
        <v>2</v>
      </c>
      <c r="C2652">
        <v>2</v>
      </c>
      <c r="D2652">
        <v>3</v>
      </c>
      <c r="E2652" t="s">
        <v>14</v>
      </c>
      <c r="F2652">
        <v>2</v>
      </c>
      <c r="G2652">
        <v>2</v>
      </c>
      <c r="H2652">
        <v>3</v>
      </c>
    </row>
    <row r="2653" spans="1:8" x14ac:dyDescent="0.3">
      <c r="A2653">
        <v>7</v>
      </c>
      <c r="B2653">
        <v>2</v>
      </c>
      <c r="C2653">
        <v>3</v>
      </c>
      <c r="D2653">
        <v>2</v>
      </c>
      <c r="E2653" t="s">
        <v>14</v>
      </c>
      <c r="F2653">
        <v>2</v>
      </c>
      <c r="G2653">
        <v>3</v>
      </c>
      <c r="H2653">
        <v>2</v>
      </c>
    </row>
    <row r="2654" spans="1:8" x14ac:dyDescent="0.3">
      <c r="A2654">
        <v>7</v>
      </c>
      <c r="B2654">
        <v>3</v>
      </c>
      <c r="C2654">
        <v>2</v>
      </c>
      <c r="D2654">
        <v>2</v>
      </c>
      <c r="E2654" t="s">
        <v>14</v>
      </c>
      <c r="F2654">
        <v>3</v>
      </c>
      <c r="G2654">
        <v>2</v>
      </c>
      <c r="H2654">
        <v>2</v>
      </c>
    </row>
    <row r="2655" spans="1:8" x14ac:dyDescent="0.3">
      <c r="A2655">
        <v>7</v>
      </c>
      <c r="B2655">
        <v>2</v>
      </c>
      <c r="C2655">
        <v>3</v>
      </c>
      <c r="D2655">
        <v>2</v>
      </c>
      <c r="E2655" t="s">
        <v>14</v>
      </c>
      <c r="F2655">
        <v>2</v>
      </c>
      <c r="G2655">
        <v>3</v>
      </c>
      <c r="H2655">
        <v>2</v>
      </c>
    </row>
    <row r="2656" spans="1:8" x14ac:dyDescent="0.3">
      <c r="A2656">
        <v>8</v>
      </c>
      <c r="B2656">
        <v>3</v>
      </c>
      <c r="C2656">
        <v>3</v>
      </c>
      <c r="D2656">
        <v>2</v>
      </c>
      <c r="E2656" t="s">
        <v>14</v>
      </c>
      <c r="F2656">
        <v>3</v>
      </c>
      <c r="G2656">
        <v>3</v>
      </c>
      <c r="H2656">
        <v>2</v>
      </c>
    </row>
    <row r="2657" spans="1:8" x14ac:dyDescent="0.3">
      <c r="A2657">
        <v>8</v>
      </c>
      <c r="B2657">
        <v>2</v>
      </c>
      <c r="C2657">
        <v>3</v>
      </c>
      <c r="D2657">
        <v>3</v>
      </c>
      <c r="E2657" t="s">
        <v>14</v>
      </c>
      <c r="F2657">
        <v>2</v>
      </c>
      <c r="G2657">
        <v>3</v>
      </c>
      <c r="H2657">
        <v>3</v>
      </c>
    </row>
    <row r="2658" spans="1:8" x14ac:dyDescent="0.3">
      <c r="A2658">
        <v>8</v>
      </c>
      <c r="B2658">
        <v>3</v>
      </c>
      <c r="C2658">
        <v>3</v>
      </c>
      <c r="D2658">
        <v>2</v>
      </c>
      <c r="E2658" t="s">
        <v>14</v>
      </c>
      <c r="F2658">
        <v>3</v>
      </c>
      <c r="G2658">
        <v>3</v>
      </c>
      <c r="H2658">
        <v>2</v>
      </c>
    </row>
    <row r="2659" spans="1:8" x14ac:dyDescent="0.3">
      <c r="A2659">
        <v>8</v>
      </c>
      <c r="B2659">
        <v>3</v>
      </c>
      <c r="C2659">
        <v>2</v>
      </c>
      <c r="D2659">
        <v>3</v>
      </c>
      <c r="E2659" t="s">
        <v>14</v>
      </c>
      <c r="F2659">
        <v>3</v>
      </c>
      <c r="G2659">
        <v>2</v>
      </c>
      <c r="H2659">
        <v>3</v>
      </c>
    </row>
    <row r="2660" spans="1:8" x14ac:dyDescent="0.3">
      <c r="A2660">
        <v>8</v>
      </c>
      <c r="B2660">
        <v>2</v>
      </c>
      <c r="C2660">
        <v>3</v>
      </c>
      <c r="D2660">
        <v>3</v>
      </c>
      <c r="E2660" t="s">
        <v>14</v>
      </c>
      <c r="F2660">
        <v>2</v>
      </c>
      <c r="G2660">
        <v>3</v>
      </c>
      <c r="H2660">
        <v>3</v>
      </c>
    </row>
    <row r="2661" spans="1:8" x14ac:dyDescent="0.3">
      <c r="A2661">
        <v>2</v>
      </c>
      <c r="B2661">
        <v>0</v>
      </c>
      <c r="C2661">
        <v>1</v>
      </c>
      <c r="D2661">
        <v>1</v>
      </c>
      <c r="E2661" t="s">
        <v>14</v>
      </c>
      <c r="F2661">
        <v>0</v>
      </c>
      <c r="G2661">
        <v>1</v>
      </c>
      <c r="H2661">
        <v>1</v>
      </c>
    </row>
    <row r="2662" spans="1:8" x14ac:dyDescent="0.3">
      <c r="A2662">
        <v>2</v>
      </c>
      <c r="B2662">
        <v>1</v>
      </c>
      <c r="C2662">
        <v>0</v>
      </c>
      <c r="D2662">
        <v>1</v>
      </c>
      <c r="E2662" t="s">
        <v>14</v>
      </c>
      <c r="F2662">
        <v>1</v>
      </c>
      <c r="G2662">
        <v>0</v>
      </c>
      <c r="H2662">
        <v>1</v>
      </c>
    </row>
    <row r="2663" spans="1:8" x14ac:dyDescent="0.3">
      <c r="A2663">
        <v>2</v>
      </c>
      <c r="B2663">
        <v>1</v>
      </c>
      <c r="C2663">
        <v>0</v>
      </c>
      <c r="D2663">
        <v>1</v>
      </c>
      <c r="E2663" t="s">
        <v>14</v>
      </c>
      <c r="F2663">
        <v>0</v>
      </c>
      <c r="G2663">
        <v>0</v>
      </c>
      <c r="H2663">
        <v>2</v>
      </c>
    </row>
    <row r="2664" spans="1:8" x14ac:dyDescent="0.3">
      <c r="A2664">
        <v>2</v>
      </c>
      <c r="B2664">
        <v>1</v>
      </c>
      <c r="C2664">
        <v>1</v>
      </c>
      <c r="D2664">
        <v>0</v>
      </c>
      <c r="E2664" t="s">
        <v>14</v>
      </c>
      <c r="F2664">
        <v>1</v>
      </c>
      <c r="G2664">
        <v>1</v>
      </c>
      <c r="H2664">
        <v>0</v>
      </c>
    </row>
    <row r="2665" spans="1:8" x14ac:dyDescent="0.3">
      <c r="A2665">
        <v>2</v>
      </c>
      <c r="B2665">
        <v>1</v>
      </c>
      <c r="C2665">
        <v>1</v>
      </c>
      <c r="D2665">
        <v>0</v>
      </c>
      <c r="E2665" t="s">
        <v>14</v>
      </c>
      <c r="F2665">
        <v>0</v>
      </c>
      <c r="G2665">
        <v>0</v>
      </c>
      <c r="H2665">
        <v>2</v>
      </c>
    </row>
    <row r="2666" spans="1:8" x14ac:dyDescent="0.3">
      <c r="A2666">
        <v>2</v>
      </c>
      <c r="B2666">
        <v>0</v>
      </c>
      <c r="C2666">
        <v>1</v>
      </c>
      <c r="D2666">
        <v>1</v>
      </c>
      <c r="E2666" t="s">
        <v>14</v>
      </c>
      <c r="F2666">
        <v>0</v>
      </c>
      <c r="G2666">
        <v>1</v>
      </c>
      <c r="H2666">
        <v>1</v>
      </c>
    </row>
    <row r="2667" spans="1:8" x14ac:dyDescent="0.3">
      <c r="A2667">
        <v>3</v>
      </c>
      <c r="B2667">
        <v>1</v>
      </c>
      <c r="C2667">
        <v>1</v>
      </c>
      <c r="D2667">
        <v>1</v>
      </c>
      <c r="E2667" t="s">
        <v>14</v>
      </c>
      <c r="F2667">
        <v>2</v>
      </c>
      <c r="G2667">
        <v>1</v>
      </c>
      <c r="H2667">
        <v>0</v>
      </c>
    </row>
    <row r="2668" spans="1:8" x14ac:dyDescent="0.3">
      <c r="A2668">
        <v>3</v>
      </c>
      <c r="B2668">
        <v>1</v>
      </c>
      <c r="C2668">
        <v>1</v>
      </c>
      <c r="D2668">
        <v>1</v>
      </c>
      <c r="E2668" t="s">
        <v>14</v>
      </c>
      <c r="F2668">
        <v>1</v>
      </c>
      <c r="G2668">
        <v>0</v>
      </c>
      <c r="H2668">
        <v>2</v>
      </c>
    </row>
    <row r="2669" spans="1:8" x14ac:dyDescent="0.3">
      <c r="A2669">
        <v>3</v>
      </c>
      <c r="B2669">
        <v>1</v>
      </c>
      <c r="C2669">
        <v>1</v>
      </c>
      <c r="D2669">
        <v>1</v>
      </c>
      <c r="E2669" t="s">
        <v>14</v>
      </c>
      <c r="F2669">
        <v>1</v>
      </c>
      <c r="G2669">
        <v>1</v>
      </c>
      <c r="H2669">
        <v>1</v>
      </c>
    </row>
    <row r="2670" spans="1:8" x14ac:dyDescent="0.3">
      <c r="A2670">
        <v>3</v>
      </c>
      <c r="B2670">
        <v>1</v>
      </c>
      <c r="C2670">
        <v>1</v>
      </c>
      <c r="D2670">
        <v>1</v>
      </c>
      <c r="E2670" t="s">
        <v>14</v>
      </c>
      <c r="F2670">
        <v>2</v>
      </c>
      <c r="G2670">
        <v>1</v>
      </c>
      <c r="H2670">
        <v>0</v>
      </c>
    </row>
    <row r="2671" spans="1:8" x14ac:dyDescent="0.3">
      <c r="A2671">
        <v>3</v>
      </c>
      <c r="B2671">
        <v>1</v>
      </c>
      <c r="C2671">
        <v>1</v>
      </c>
      <c r="D2671">
        <v>1</v>
      </c>
      <c r="E2671" t="s">
        <v>14</v>
      </c>
      <c r="F2671">
        <v>1</v>
      </c>
      <c r="G2671">
        <v>1</v>
      </c>
      <c r="H2671">
        <v>1</v>
      </c>
    </row>
    <row r="2672" spans="1:8" x14ac:dyDescent="0.3">
      <c r="A2672">
        <v>3</v>
      </c>
      <c r="B2672">
        <v>0</v>
      </c>
      <c r="C2672">
        <v>2</v>
      </c>
      <c r="D2672">
        <v>1</v>
      </c>
      <c r="E2672" t="s">
        <v>14</v>
      </c>
      <c r="F2672">
        <v>1</v>
      </c>
      <c r="G2672">
        <v>0</v>
      </c>
      <c r="H2672">
        <v>2</v>
      </c>
    </row>
    <row r="2673" spans="1:8" x14ac:dyDescent="0.3">
      <c r="A2673">
        <v>3</v>
      </c>
      <c r="B2673">
        <v>1</v>
      </c>
      <c r="C2673">
        <v>1</v>
      </c>
      <c r="D2673">
        <v>1</v>
      </c>
      <c r="E2673" t="s">
        <v>14</v>
      </c>
      <c r="F2673">
        <v>1</v>
      </c>
      <c r="G2673">
        <v>1</v>
      </c>
      <c r="H2673">
        <v>1</v>
      </c>
    </row>
    <row r="2674" spans="1:8" x14ac:dyDescent="0.3">
      <c r="A2674">
        <v>3</v>
      </c>
      <c r="B2674">
        <v>2</v>
      </c>
      <c r="C2674">
        <v>1</v>
      </c>
      <c r="D2674">
        <v>0</v>
      </c>
      <c r="E2674" t="s">
        <v>14</v>
      </c>
      <c r="F2674">
        <v>2</v>
      </c>
      <c r="G2674">
        <v>1</v>
      </c>
      <c r="H2674">
        <v>0</v>
      </c>
    </row>
    <row r="2675" spans="1:8" x14ac:dyDescent="0.3">
      <c r="A2675">
        <v>3</v>
      </c>
      <c r="B2675">
        <v>1</v>
      </c>
      <c r="C2675">
        <v>1</v>
      </c>
      <c r="D2675">
        <v>1</v>
      </c>
      <c r="E2675" t="s">
        <v>14</v>
      </c>
      <c r="F2675">
        <v>2</v>
      </c>
      <c r="G2675">
        <v>1</v>
      </c>
      <c r="H2675">
        <v>0</v>
      </c>
    </row>
    <row r="2676" spans="1:8" x14ac:dyDescent="0.3">
      <c r="A2676">
        <v>3</v>
      </c>
      <c r="B2676">
        <v>0</v>
      </c>
      <c r="C2676">
        <v>2</v>
      </c>
      <c r="D2676">
        <v>1</v>
      </c>
      <c r="E2676" t="s">
        <v>14</v>
      </c>
      <c r="F2676">
        <v>0</v>
      </c>
      <c r="G2676">
        <v>2</v>
      </c>
      <c r="H2676">
        <v>1</v>
      </c>
    </row>
    <row r="2677" spans="1:8" x14ac:dyDescent="0.3">
      <c r="A2677">
        <v>3</v>
      </c>
      <c r="B2677">
        <v>1</v>
      </c>
      <c r="C2677">
        <v>1</v>
      </c>
      <c r="D2677">
        <v>1</v>
      </c>
      <c r="E2677" t="s">
        <v>14</v>
      </c>
      <c r="F2677">
        <v>1</v>
      </c>
      <c r="G2677">
        <v>1</v>
      </c>
      <c r="H2677">
        <v>1</v>
      </c>
    </row>
    <row r="2678" spans="1:8" x14ac:dyDescent="0.3">
      <c r="A2678">
        <v>3</v>
      </c>
      <c r="B2678">
        <v>1</v>
      </c>
      <c r="C2678">
        <v>0</v>
      </c>
      <c r="D2678">
        <v>2</v>
      </c>
      <c r="E2678" t="s">
        <v>14</v>
      </c>
      <c r="F2678">
        <v>0</v>
      </c>
      <c r="G2678">
        <v>2</v>
      </c>
      <c r="H2678">
        <v>1</v>
      </c>
    </row>
    <row r="2679" spans="1:8" x14ac:dyDescent="0.3">
      <c r="A2679">
        <v>3</v>
      </c>
      <c r="B2679">
        <v>1</v>
      </c>
      <c r="C2679">
        <v>1</v>
      </c>
      <c r="D2679">
        <v>1</v>
      </c>
      <c r="E2679" t="s">
        <v>14</v>
      </c>
      <c r="F2679">
        <v>0</v>
      </c>
      <c r="G2679">
        <v>2</v>
      </c>
      <c r="H2679">
        <v>1</v>
      </c>
    </row>
    <row r="2680" spans="1:8" x14ac:dyDescent="0.3">
      <c r="A2680">
        <v>3</v>
      </c>
      <c r="B2680">
        <v>1</v>
      </c>
      <c r="C2680">
        <v>1</v>
      </c>
      <c r="D2680">
        <v>1</v>
      </c>
      <c r="E2680" t="s">
        <v>14</v>
      </c>
      <c r="F2680">
        <v>2</v>
      </c>
      <c r="G2680">
        <v>1</v>
      </c>
      <c r="H2680">
        <v>0</v>
      </c>
    </row>
    <row r="2681" spans="1:8" x14ac:dyDescent="0.3">
      <c r="A2681">
        <v>3</v>
      </c>
      <c r="B2681">
        <v>1</v>
      </c>
      <c r="C2681">
        <v>1</v>
      </c>
      <c r="D2681">
        <v>1</v>
      </c>
      <c r="E2681" t="s">
        <v>14</v>
      </c>
      <c r="F2681">
        <v>0</v>
      </c>
      <c r="G2681">
        <v>2</v>
      </c>
      <c r="H2681">
        <v>1</v>
      </c>
    </row>
    <row r="2682" spans="1:8" x14ac:dyDescent="0.3">
      <c r="A2682">
        <v>3</v>
      </c>
      <c r="B2682">
        <v>2</v>
      </c>
      <c r="C2682">
        <v>1</v>
      </c>
      <c r="D2682">
        <v>0</v>
      </c>
      <c r="E2682" t="s">
        <v>14</v>
      </c>
      <c r="F2682">
        <v>1</v>
      </c>
      <c r="G2682">
        <v>0</v>
      </c>
      <c r="H2682">
        <v>2</v>
      </c>
    </row>
    <row r="2683" spans="1:8" x14ac:dyDescent="0.3">
      <c r="A2683">
        <v>3</v>
      </c>
      <c r="B2683">
        <v>1</v>
      </c>
      <c r="C2683">
        <v>1</v>
      </c>
      <c r="D2683">
        <v>1</v>
      </c>
      <c r="E2683" t="s">
        <v>14</v>
      </c>
      <c r="F2683">
        <v>1</v>
      </c>
      <c r="G2683">
        <v>1</v>
      </c>
      <c r="H2683">
        <v>1</v>
      </c>
    </row>
    <row r="2684" spans="1:8" x14ac:dyDescent="0.3">
      <c r="A2684">
        <v>3</v>
      </c>
      <c r="B2684">
        <v>1</v>
      </c>
      <c r="C2684">
        <v>1</v>
      </c>
      <c r="D2684">
        <v>1</v>
      </c>
      <c r="E2684" t="s">
        <v>14</v>
      </c>
      <c r="F2684">
        <v>1</v>
      </c>
      <c r="G2684">
        <v>1</v>
      </c>
      <c r="H2684">
        <v>1</v>
      </c>
    </row>
    <row r="2685" spans="1:8" x14ac:dyDescent="0.3">
      <c r="A2685">
        <v>3</v>
      </c>
      <c r="B2685">
        <v>1</v>
      </c>
      <c r="C2685">
        <v>1</v>
      </c>
      <c r="D2685">
        <v>1</v>
      </c>
      <c r="E2685" t="s">
        <v>14</v>
      </c>
      <c r="F2685">
        <v>2</v>
      </c>
      <c r="G2685">
        <v>1</v>
      </c>
      <c r="H2685">
        <v>0</v>
      </c>
    </row>
    <row r="2686" spans="1:8" x14ac:dyDescent="0.3">
      <c r="A2686">
        <v>3</v>
      </c>
      <c r="B2686">
        <v>1</v>
      </c>
      <c r="C2686">
        <v>1</v>
      </c>
      <c r="D2686">
        <v>1</v>
      </c>
      <c r="E2686" t="s">
        <v>14</v>
      </c>
      <c r="F2686">
        <v>1</v>
      </c>
      <c r="G2686">
        <v>0</v>
      </c>
      <c r="H2686">
        <v>2</v>
      </c>
    </row>
    <row r="2687" spans="1:8" x14ac:dyDescent="0.3">
      <c r="A2687">
        <v>3</v>
      </c>
      <c r="B2687">
        <v>1</v>
      </c>
      <c r="C2687">
        <v>1</v>
      </c>
      <c r="D2687">
        <v>1</v>
      </c>
      <c r="E2687" t="s">
        <v>14</v>
      </c>
      <c r="F2687">
        <v>0</v>
      </c>
      <c r="G2687">
        <v>2</v>
      </c>
      <c r="H2687">
        <v>1</v>
      </c>
    </row>
    <row r="2688" spans="1:8" x14ac:dyDescent="0.3">
      <c r="A2688">
        <v>3</v>
      </c>
      <c r="B2688">
        <v>1</v>
      </c>
      <c r="C2688">
        <v>1</v>
      </c>
      <c r="D2688">
        <v>1</v>
      </c>
      <c r="E2688" t="s">
        <v>14</v>
      </c>
      <c r="F2688">
        <v>1</v>
      </c>
      <c r="G2688">
        <v>1</v>
      </c>
      <c r="H2688">
        <v>1</v>
      </c>
    </row>
    <row r="2689" spans="1:8" x14ac:dyDescent="0.3">
      <c r="A2689">
        <v>3</v>
      </c>
      <c r="B2689">
        <v>1</v>
      </c>
      <c r="C2689">
        <v>1</v>
      </c>
      <c r="D2689">
        <v>1</v>
      </c>
      <c r="E2689" t="s">
        <v>14</v>
      </c>
      <c r="F2689">
        <v>0</v>
      </c>
      <c r="G2689">
        <v>2</v>
      </c>
      <c r="H2689">
        <v>1</v>
      </c>
    </row>
    <row r="2690" spans="1:8" x14ac:dyDescent="0.3">
      <c r="A2690">
        <v>3</v>
      </c>
      <c r="B2690">
        <v>1</v>
      </c>
      <c r="C2690">
        <v>1</v>
      </c>
      <c r="D2690">
        <v>1</v>
      </c>
      <c r="E2690" t="s">
        <v>14</v>
      </c>
      <c r="F2690">
        <v>0</v>
      </c>
      <c r="G2690">
        <v>2</v>
      </c>
      <c r="H2690">
        <v>1</v>
      </c>
    </row>
    <row r="2691" spans="1:8" x14ac:dyDescent="0.3">
      <c r="A2691">
        <v>3</v>
      </c>
      <c r="B2691">
        <v>1</v>
      </c>
      <c r="C2691">
        <v>1</v>
      </c>
      <c r="D2691">
        <v>1</v>
      </c>
      <c r="E2691" t="s">
        <v>14</v>
      </c>
      <c r="F2691">
        <v>2</v>
      </c>
      <c r="G2691">
        <v>1</v>
      </c>
      <c r="H2691">
        <v>0</v>
      </c>
    </row>
    <row r="2692" spans="1:8" x14ac:dyDescent="0.3">
      <c r="A2692">
        <v>3</v>
      </c>
      <c r="B2692">
        <v>1</v>
      </c>
      <c r="C2692">
        <v>0</v>
      </c>
      <c r="D2692">
        <v>2</v>
      </c>
      <c r="E2692" t="s">
        <v>14</v>
      </c>
      <c r="F2692">
        <v>1</v>
      </c>
      <c r="G2692">
        <v>0</v>
      </c>
      <c r="H2692">
        <v>2</v>
      </c>
    </row>
    <row r="2693" spans="1:8" x14ac:dyDescent="0.3">
      <c r="A2693">
        <v>3</v>
      </c>
      <c r="B2693">
        <v>1</v>
      </c>
      <c r="C2693">
        <v>1</v>
      </c>
      <c r="D2693">
        <v>1</v>
      </c>
      <c r="E2693" t="s">
        <v>14</v>
      </c>
      <c r="F2693">
        <v>1</v>
      </c>
      <c r="G2693">
        <v>1</v>
      </c>
      <c r="H2693">
        <v>1</v>
      </c>
    </row>
    <row r="2694" spans="1:8" x14ac:dyDescent="0.3">
      <c r="A2694">
        <v>3</v>
      </c>
      <c r="B2694">
        <v>1</v>
      </c>
      <c r="C2694">
        <v>1</v>
      </c>
      <c r="D2694">
        <v>1</v>
      </c>
      <c r="E2694" t="s">
        <v>14</v>
      </c>
      <c r="F2694">
        <v>1</v>
      </c>
      <c r="G2694">
        <v>1</v>
      </c>
      <c r="H2694">
        <v>1</v>
      </c>
    </row>
    <row r="2695" spans="1:8" x14ac:dyDescent="0.3">
      <c r="A2695">
        <v>3</v>
      </c>
      <c r="B2695">
        <v>1</v>
      </c>
      <c r="C2695">
        <v>1</v>
      </c>
      <c r="D2695">
        <v>1</v>
      </c>
      <c r="E2695" t="s">
        <v>14</v>
      </c>
      <c r="F2695">
        <v>0</v>
      </c>
      <c r="G2695">
        <v>2</v>
      </c>
      <c r="H2695">
        <v>1</v>
      </c>
    </row>
    <row r="2696" spans="1:8" x14ac:dyDescent="0.3">
      <c r="A2696">
        <v>3</v>
      </c>
      <c r="B2696">
        <v>1</v>
      </c>
      <c r="C2696">
        <v>1</v>
      </c>
      <c r="D2696">
        <v>1</v>
      </c>
      <c r="E2696" t="s">
        <v>14</v>
      </c>
      <c r="F2696">
        <v>1</v>
      </c>
      <c r="G2696">
        <v>1</v>
      </c>
      <c r="H2696">
        <v>1</v>
      </c>
    </row>
    <row r="2697" spans="1:8" x14ac:dyDescent="0.3">
      <c r="A2697">
        <v>3</v>
      </c>
      <c r="B2697">
        <v>1</v>
      </c>
      <c r="C2697">
        <v>1</v>
      </c>
      <c r="D2697">
        <v>1</v>
      </c>
      <c r="E2697" t="s">
        <v>14</v>
      </c>
      <c r="F2697">
        <v>1</v>
      </c>
      <c r="G2697">
        <v>1</v>
      </c>
      <c r="H2697">
        <v>1</v>
      </c>
    </row>
    <row r="2698" spans="1:8" x14ac:dyDescent="0.3">
      <c r="A2698">
        <v>3</v>
      </c>
      <c r="B2698">
        <v>1</v>
      </c>
      <c r="C2698">
        <v>1</v>
      </c>
      <c r="D2698">
        <v>1</v>
      </c>
      <c r="E2698" t="s">
        <v>14</v>
      </c>
      <c r="F2698">
        <v>2</v>
      </c>
      <c r="G2698">
        <v>1</v>
      </c>
      <c r="H2698">
        <v>0</v>
      </c>
    </row>
    <row r="2699" spans="1:8" x14ac:dyDescent="0.3">
      <c r="A2699">
        <v>3</v>
      </c>
      <c r="B2699">
        <v>1</v>
      </c>
      <c r="C2699">
        <v>1</v>
      </c>
      <c r="D2699">
        <v>1</v>
      </c>
      <c r="E2699" t="s">
        <v>14</v>
      </c>
      <c r="F2699">
        <v>1</v>
      </c>
      <c r="G2699">
        <v>1</v>
      </c>
      <c r="H2699">
        <v>1</v>
      </c>
    </row>
    <row r="2700" spans="1:8" x14ac:dyDescent="0.3">
      <c r="A2700">
        <v>3</v>
      </c>
      <c r="B2700">
        <v>1</v>
      </c>
      <c r="C2700">
        <v>1</v>
      </c>
      <c r="D2700">
        <v>1</v>
      </c>
      <c r="E2700" t="s">
        <v>14</v>
      </c>
      <c r="F2700">
        <v>1</v>
      </c>
      <c r="G2700">
        <v>1</v>
      </c>
      <c r="H2700">
        <v>1</v>
      </c>
    </row>
    <row r="2701" spans="1:8" x14ac:dyDescent="0.3">
      <c r="A2701">
        <v>3</v>
      </c>
      <c r="B2701">
        <v>1</v>
      </c>
      <c r="C2701">
        <v>1</v>
      </c>
      <c r="D2701">
        <v>1</v>
      </c>
      <c r="E2701" t="s">
        <v>14</v>
      </c>
      <c r="F2701">
        <v>1</v>
      </c>
      <c r="G2701">
        <v>1</v>
      </c>
      <c r="H2701">
        <v>1</v>
      </c>
    </row>
    <row r="2702" spans="1:8" x14ac:dyDescent="0.3">
      <c r="A2702">
        <v>3</v>
      </c>
      <c r="B2702">
        <v>1</v>
      </c>
      <c r="C2702">
        <v>1</v>
      </c>
      <c r="D2702">
        <v>1</v>
      </c>
      <c r="E2702" t="s">
        <v>14</v>
      </c>
      <c r="F2702">
        <v>1</v>
      </c>
      <c r="G2702">
        <v>1</v>
      </c>
      <c r="H2702">
        <v>1</v>
      </c>
    </row>
    <row r="2703" spans="1:8" x14ac:dyDescent="0.3">
      <c r="A2703">
        <v>3</v>
      </c>
      <c r="B2703">
        <v>1</v>
      </c>
      <c r="C2703">
        <v>1</v>
      </c>
      <c r="D2703">
        <v>1</v>
      </c>
      <c r="E2703" t="s">
        <v>14</v>
      </c>
      <c r="F2703">
        <v>1</v>
      </c>
      <c r="G2703">
        <v>1</v>
      </c>
      <c r="H2703">
        <v>1</v>
      </c>
    </row>
    <row r="2704" spans="1:8" x14ac:dyDescent="0.3">
      <c r="A2704">
        <v>3</v>
      </c>
      <c r="B2704">
        <v>1</v>
      </c>
      <c r="C2704">
        <v>1</v>
      </c>
      <c r="D2704">
        <v>1</v>
      </c>
      <c r="E2704" t="s">
        <v>14</v>
      </c>
      <c r="F2704">
        <v>1</v>
      </c>
      <c r="G2704">
        <v>1</v>
      </c>
      <c r="H2704">
        <v>1</v>
      </c>
    </row>
    <row r="2705" spans="1:8" x14ac:dyDescent="0.3">
      <c r="A2705">
        <v>3</v>
      </c>
      <c r="B2705">
        <v>1</v>
      </c>
      <c r="C2705">
        <v>1</v>
      </c>
      <c r="D2705">
        <v>1</v>
      </c>
      <c r="E2705" t="s">
        <v>14</v>
      </c>
      <c r="F2705">
        <v>1</v>
      </c>
      <c r="G2705">
        <v>1</v>
      </c>
      <c r="H2705">
        <v>1</v>
      </c>
    </row>
    <row r="2706" spans="1:8" x14ac:dyDescent="0.3">
      <c r="A2706">
        <v>4</v>
      </c>
      <c r="B2706">
        <v>1</v>
      </c>
      <c r="C2706">
        <v>1</v>
      </c>
      <c r="D2706">
        <v>2</v>
      </c>
      <c r="E2706" t="s">
        <v>14</v>
      </c>
      <c r="F2706">
        <v>2</v>
      </c>
      <c r="G2706">
        <v>2</v>
      </c>
      <c r="H2706">
        <v>0</v>
      </c>
    </row>
    <row r="2707" spans="1:8" x14ac:dyDescent="0.3">
      <c r="A2707">
        <v>4</v>
      </c>
      <c r="B2707">
        <v>2</v>
      </c>
      <c r="C2707">
        <v>1</v>
      </c>
      <c r="D2707">
        <v>1</v>
      </c>
      <c r="E2707" t="s">
        <v>14</v>
      </c>
      <c r="F2707">
        <v>2</v>
      </c>
      <c r="G2707">
        <v>2</v>
      </c>
      <c r="H2707">
        <v>0</v>
      </c>
    </row>
    <row r="2708" spans="1:8" x14ac:dyDescent="0.3">
      <c r="A2708">
        <v>4</v>
      </c>
      <c r="B2708">
        <v>2</v>
      </c>
      <c r="C2708">
        <v>1</v>
      </c>
      <c r="D2708">
        <v>1</v>
      </c>
      <c r="E2708" t="s">
        <v>14</v>
      </c>
      <c r="F2708">
        <v>2</v>
      </c>
      <c r="G2708">
        <v>1</v>
      </c>
      <c r="H2708">
        <v>1</v>
      </c>
    </row>
    <row r="2709" spans="1:8" x14ac:dyDescent="0.3">
      <c r="A2709">
        <v>4</v>
      </c>
      <c r="B2709">
        <v>1</v>
      </c>
      <c r="C2709">
        <v>2</v>
      </c>
      <c r="D2709">
        <v>1</v>
      </c>
      <c r="E2709" t="s">
        <v>14</v>
      </c>
      <c r="F2709">
        <v>1</v>
      </c>
      <c r="G2709">
        <v>2</v>
      </c>
      <c r="H2709">
        <v>1</v>
      </c>
    </row>
    <row r="2710" spans="1:8" x14ac:dyDescent="0.3">
      <c r="A2710">
        <v>4</v>
      </c>
      <c r="B2710">
        <v>2</v>
      </c>
      <c r="C2710">
        <v>1</v>
      </c>
      <c r="D2710">
        <v>1</v>
      </c>
      <c r="E2710" t="s">
        <v>14</v>
      </c>
      <c r="F2710">
        <v>2</v>
      </c>
      <c r="G2710">
        <v>1</v>
      </c>
      <c r="H2710">
        <v>1</v>
      </c>
    </row>
    <row r="2711" spans="1:8" x14ac:dyDescent="0.3">
      <c r="A2711">
        <v>4</v>
      </c>
      <c r="B2711">
        <v>2</v>
      </c>
      <c r="C2711">
        <v>1</v>
      </c>
      <c r="D2711">
        <v>1</v>
      </c>
      <c r="E2711" t="s">
        <v>14</v>
      </c>
      <c r="F2711">
        <v>2</v>
      </c>
      <c r="G2711">
        <v>1</v>
      </c>
      <c r="H2711">
        <v>1</v>
      </c>
    </row>
    <row r="2712" spans="1:8" x14ac:dyDescent="0.3">
      <c r="A2712">
        <v>4</v>
      </c>
      <c r="B2712">
        <v>1</v>
      </c>
      <c r="C2712">
        <v>1</v>
      </c>
      <c r="D2712">
        <v>2</v>
      </c>
      <c r="E2712" t="s">
        <v>14</v>
      </c>
      <c r="F2712">
        <v>0</v>
      </c>
      <c r="G2712">
        <v>2</v>
      </c>
      <c r="H2712">
        <v>2</v>
      </c>
    </row>
    <row r="2713" spans="1:8" x14ac:dyDescent="0.3">
      <c r="A2713">
        <v>4</v>
      </c>
      <c r="B2713">
        <v>2</v>
      </c>
      <c r="C2713">
        <v>1</v>
      </c>
      <c r="D2713">
        <v>1</v>
      </c>
      <c r="E2713" t="s">
        <v>14</v>
      </c>
      <c r="F2713">
        <v>2</v>
      </c>
      <c r="G2713">
        <v>2</v>
      </c>
      <c r="H2713">
        <v>0</v>
      </c>
    </row>
    <row r="2714" spans="1:8" x14ac:dyDescent="0.3">
      <c r="A2714">
        <v>4</v>
      </c>
      <c r="B2714">
        <v>1</v>
      </c>
      <c r="C2714">
        <v>1</v>
      </c>
      <c r="D2714">
        <v>2</v>
      </c>
      <c r="E2714" t="s">
        <v>14</v>
      </c>
      <c r="F2714">
        <v>1</v>
      </c>
      <c r="G2714">
        <v>1</v>
      </c>
      <c r="H2714">
        <v>2</v>
      </c>
    </row>
    <row r="2715" spans="1:8" x14ac:dyDescent="0.3">
      <c r="A2715">
        <v>4</v>
      </c>
      <c r="B2715">
        <v>1</v>
      </c>
      <c r="C2715">
        <v>2</v>
      </c>
      <c r="D2715">
        <v>1</v>
      </c>
      <c r="E2715" t="s">
        <v>14</v>
      </c>
      <c r="F2715">
        <v>0</v>
      </c>
      <c r="G2715">
        <v>2</v>
      </c>
      <c r="H2715">
        <v>2</v>
      </c>
    </row>
    <row r="2716" spans="1:8" x14ac:dyDescent="0.3">
      <c r="A2716">
        <v>4</v>
      </c>
      <c r="B2716">
        <v>1</v>
      </c>
      <c r="C2716">
        <v>1</v>
      </c>
      <c r="D2716">
        <v>2</v>
      </c>
      <c r="E2716" t="s">
        <v>14</v>
      </c>
      <c r="F2716">
        <v>1</v>
      </c>
      <c r="G2716">
        <v>1</v>
      </c>
      <c r="H2716">
        <v>2</v>
      </c>
    </row>
    <row r="2717" spans="1:8" x14ac:dyDescent="0.3">
      <c r="A2717">
        <v>5</v>
      </c>
      <c r="B2717">
        <v>2</v>
      </c>
      <c r="C2717">
        <v>2</v>
      </c>
      <c r="D2717">
        <v>1</v>
      </c>
      <c r="E2717" t="s">
        <v>14</v>
      </c>
      <c r="F2717">
        <v>2</v>
      </c>
      <c r="G2717">
        <v>2</v>
      </c>
      <c r="H2717">
        <v>1</v>
      </c>
    </row>
    <row r="2718" spans="1:8" x14ac:dyDescent="0.3">
      <c r="A2718">
        <v>5</v>
      </c>
      <c r="B2718">
        <v>2</v>
      </c>
      <c r="C2718">
        <v>2</v>
      </c>
      <c r="D2718">
        <v>1</v>
      </c>
      <c r="E2718" t="s">
        <v>14</v>
      </c>
      <c r="F2718">
        <v>2</v>
      </c>
      <c r="G2718">
        <v>2</v>
      </c>
      <c r="H2718">
        <v>1</v>
      </c>
    </row>
    <row r="2719" spans="1:8" x14ac:dyDescent="0.3">
      <c r="A2719">
        <v>5</v>
      </c>
      <c r="B2719">
        <v>2</v>
      </c>
      <c r="C2719">
        <v>2</v>
      </c>
      <c r="D2719">
        <v>1</v>
      </c>
      <c r="E2719" t="s">
        <v>14</v>
      </c>
      <c r="F2719">
        <v>0</v>
      </c>
      <c r="G2719">
        <v>2</v>
      </c>
      <c r="H2719">
        <v>3</v>
      </c>
    </row>
    <row r="2720" spans="1:8" x14ac:dyDescent="0.3">
      <c r="A2720">
        <v>5</v>
      </c>
      <c r="B2720">
        <v>2</v>
      </c>
      <c r="C2720">
        <v>1</v>
      </c>
      <c r="D2720">
        <v>2</v>
      </c>
      <c r="E2720" t="s">
        <v>14</v>
      </c>
      <c r="F2720">
        <v>2</v>
      </c>
      <c r="G2720">
        <v>1</v>
      </c>
      <c r="H2720">
        <v>2</v>
      </c>
    </row>
    <row r="2721" spans="1:8" x14ac:dyDescent="0.3">
      <c r="A2721">
        <v>5</v>
      </c>
      <c r="B2721">
        <v>2</v>
      </c>
      <c r="C2721">
        <v>1</v>
      </c>
      <c r="D2721">
        <v>2</v>
      </c>
      <c r="E2721" t="s">
        <v>14</v>
      </c>
      <c r="F2721">
        <v>2</v>
      </c>
      <c r="G2721">
        <v>1</v>
      </c>
      <c r="H2721">
        <v>2</v>
      </c>
    </row>
    <row r="2722" spans="1:8" x14ac:dyDescent="0.3">
      <c r="A2722">
        <v>5</v>
      </c>
      <c r="B2722">
        <v>2</v>
      </c>
      <c r="C2722">
        <v>1</v>
      </c>
      <c r="D2722">
        <v>2</v>
      </c>
      <c r="E2722" t="s">
        <v>14</v>
      </c>
      <c r="F2722">
        <v>3</v>
      </c>
      <c r="G2722">
        <v>0</v>
      </c>
      <c r="H2722">
        <v>2</v>
      </c>
    </row>
    <row r="2723" spans="1:8" x14ac:dyDescent="0.3">
      <c r="A2723">
        <v>5</v>
      </c>
      <c r="B2723">
        <v>1</v>
      </c>
      <c r="C2723">
        <v>2</v>
      </c>
      <c r="D2723">
        <v>2</v>
      </c>
      <c r="E2723" t="s">
        <v>14</v>
      </c>
      <c r="F2723">
        <v>1</v>
      </c>
      <c r="G2723">
        <v>2</v>
      </c>
      <c r="H2723">
        <v>2</v>
      </c>
    </row>
    <row r="2724" spans="1:8" x14ac:dyDescent="0.3">
      <c r="A2724">
        <v>6</v>
      </c>
      <c r="B2724">
        <v>2</v>
      </c>
      <c r="C2724">
        <v>2</v>
      </c>
      <c r="D2724">
        <v>2</v>
      </c>
      <c r="E2724" t="s">
        <v>14</v>
      </c>
      <c r="F2724">
        <v>2</v>
      </c>
      <c r="G2724">
        <v>2</v>
      </c>
      <c r="H2724">
        <v>2</v>
      </c>
    </row>
    <row r="2725" spans="1:8" x14ac:dyDescent="0.3">
      <c r="A2725">
        <v>6</v>
      </c>
      <c r="B2725">
        <v>3</v>
      </c>
      <c r="C2725">
        <v>1</v>
      </c>
      <c r="D2725">
        <v>2</v>
      </c>
      <c r="E2725" t="s">
        <v>14</v>
      </c>
      <c r="F2725">
        <v>3</v>
      </c>
      <c r="G2725">
        <v>1</v>
      </c>
      <c r="H2725">
        <v>2</v>
      </c>
    </row>
    <row r="2726" spans="1:8" x14ac:dyDescent="0.3">
      <c r="A2726">
        <v>6</v>
      </c>
      <c r="B2726">
        <v>2</v>
      </c>
      <c r="C2726">
        <v>2</v>
      </c>
      <c r="D2726">
        <v>2</v>
      </c>
      <c r="E2726" t="s">
        <v>14</v>
      </c>
      <c r="F2726">
        <v>2</v>
      </c>
      <c r="G2726">
        <v>2</v>
      </c>
      <c r="H2726">
        <v>2</v>
      </c>
    </row>
    <row r="2727" spans="1:8" x14ac:dyDescent="0.3">
      <c r="A2727">
        <v>6</v>
      </c>
      <c r="B2727">
        <v>2</v>
      </c>
      <c r="C2727">
        <v>3</v>
      </c>
      <c r="D2727">
        <v>1</v>
      </c>
      <c r="E2727" t="s">
        <v>14</v>
      </c>
      <c r="F2727">
        <v>2</v>
      </c>
      <c r="G2727">
        <v>3</v>
      </c>
      <c r="H2727">
        <v>1</v>
      </c>
    </row>
    <row r="2728" spans="1:8" x14ac:dyDescent="0.3">
      <c r="A2728">
        <v>7</v>
      </c>
      <c r="B2728">
        <v>3</v>
      </c>
      <c r="C2728">
        <v>2</v>
      </c>
      <c r="D2728">
        <v>2</v>
      </c>
      <c r="E2728" t="s">
        <v>14</v>
      </c>
      <c r="F2728">
        <v>3</v>
      </c>
      <c r="G2728">
        <v>2</v>
      </c>
      <c r="H2728">
        <v>2</v>
      </c>
    </row>
    <row r="2729" spans="1:8" x14ac:dyDescent="0.3">
      <c r="A2729">
        <v>7</v>
      </c>
      <c r="B2729">
        <v>3</v>
      </c>
      <c r="C2729">
        <v>2</v>
      </c>
      <c r="D2729">
        <v>2</v>
      </c>
      <c r="E2729" t="s">
        <v>14</v>
      </c>
      <c r="F2729">
        <v>3</v>
      </c>
      <c r="G2729">
        <v>2</v>
      </c>
      <c r="H2729">
        <v>2</v>
      </c>
    </row>
    <row r="2730" spans="1:8" x14ac:dyDescent="0.3">
      <c r="A2730">
        <v>8</v>
      </c>
      <c r="B2730">
        <v>3</v>
      </c>
      <c r="C2730">
        <v>2</v>
      </c>
      <c r="D2730">
        <v>3</v>
      </c>
      <c r="E2730" t="s">
        <v>14</v>
      </c>
      <c r="F2730">
        <v>3</v>
      </c>
      <c r="G2730">
        <v>2</v>
      </c>
      <c r="H2730">
        <v>3</v>
      </c>
    </row>
    <row r="2731" spans="1:8" x14ac:dyDescent="0.3">
      <c r="A2731">
        <v>2</v>
      </c>
      <c r="B2731">
        <v>1</v>
      </c>
      <c r="C2731">
        <v>0</v>
      </c>
      <c r="D2731">
        <v>1</v>
      </c>
      <c r="E2731" t="s">
        <v>14</v>
      </c>
      <c r="F2731">
        <v>1</v>
      </c>
      <c r="G2731">
        <v>0</v>
      </c>
      <c r="H2731">
        <v>1</v>
      </c>
    </row>
    <row r="2732" spans="1:8" x14ac:dyDescent="0.3">
      <c r="A2732">
        <v>2</v>
      </c>
      <c r="B2732">
        <v>1</v>
      </c>
      <c r="C2732">
        <v>0</v>
      </c>
      <c r="D2732">
        <v>1</v>
      </c>
      <c r="E2732" t="s">
        <v>14</v>
      </c>
      <c r="F2732">
        <v>1</v>
      </c>
      <c r="G2732">
        <v>0</v>
      </c>
      <c r="H2732">
        <v>1</v>
      </c>
    </row>
    <row r="2733" spans="1:8" x14ac:dyDescent="0.3">
      <c r="A2733">
        <v>2</v>
      </c>
      <c r="B2733">
        <v>1</v>
      </c>
      <c r="C2733">
        <v>1</v>
      </c>
      <c r="D2733">
        <v>0</v>
      </c>
      <c r="E2733" t="s">
        <v>14</v>
      </c>
      <c r="F2733">
        <v>0</v>
      </c>
      <c r="G2733">
        <v>0</v>
      </c>
      <c r="H2733">
        <v>2</v>
      </c>
    </row>
    <row r="2734" spans="1:8" x14ac:dyDescent="0.3">
      <c r="A2734">
        <v>3</v>
      </c>
      <c r="B2734">
        <v>1</v>
      </c>
      <c r="C2734">
        <v>1</v>
      </c>
      <c r="D2734">
        <v>1</v>
      </c>
      <c r="E2734" t="s">
        <v>14</v>
      </c>
      <c r="F2734">
        <v>1</v>
      </c>
      <c r="G2734">
        <v>1</v>
      </c>
      <c r="H2734">
        <v>1</v>
      </c>
    </row>
    <row r="2735" spans="1:8" x14ac:dyDescent="0.3">
      <c r="A2735">
        <v>3</v>
      </c>
      <c r="B2735">
        <v>1</v>
      </c>
      <c r="C2735">
        <v>0</v>
      </c>
      <c r="D2735">
        <v>2</v>
      </c>
      <c r="E2735" t="s">
        <v>14</v>
      </c>
      <c r="F2735">
        <v>2</v>
      </c>
      <c r="G2735">
        <v>1</v>
      </c>
      <c r="H2735">
        <v>0</v>
      </c>
    </row>
    <row r="2736" spans="1:8" x14ac:dyDescent="0.3">
      <c r="A2736">
        <v>3</v>
      </c>
      <c r="B2736">
        <v>1</v>
      </c>
      <c r="C2736">
        <v>1</v>
      </c>
      <c r="D2736">
        <v>1</v>
      </c>
      <c r="E2736" t="s">
        <v>14</v>
      </c>
      <c r="F2736">
        <v>1</v>
      </c>
      <c r="G2736">
        <v>1</v>
      </c>
      <c r="H2736">
        <v>1</v>
      </c>
    </row>
    <row r="2737" spans="1:8" x14ac:dyDescent="0.3">
      <c r="A2737">
        <v>3</v>
      </c>
      <c r="B2737">
        <v>1</v>
      </c>
      <c r="C2737">
        <v>1</v>
      </c>
      <c r="D2737">
        <v>1</v>
      </c>
      <c r="E2737" t="s">
        <v>14</v>
      </c>
      <c r="F2737">
        <v>2</v>
      </c>
      <c r="G2737">
        <v>1</v>
      </c>
      <c r="H2737">
        <v>0</v>
      </c>
    </row>
    <row r="2738" spans="1:8" x14ac:dyDescent="0.3">
      <c r="A2738">
        <v>3</v>
      </c>
      <c r="B2738">
        <v>1</v>
      </c>
      <c r="C2738">
        <v>1</v>
      </c>
      <c r="D2738">
        <v>1</v>
      </c>
      <c r="E2738" t="s">
        <v>14</v>
      </c>
      <c r="F2738">
        <v>1</v>
      </c>
      <c r="G2738">
        <v>0</v>
      </c>
      <c r="H2738">
        <v>2</v>
      </c>
    </row>
    <row r="2739" spans="1:8" x14ac:dyDescent="0.3">
      <c r="A2739">
        <v>3</v>
      </c>
      <c r="B2739">
        <v>0</v>
      </c>
      <c r="C2739">
        <v>2</v>
      </c>
      <c r="D2739">
        <v>1</v>
      </c>
      <c r="E2739" t="s">
        <v>14</v>
      </c>
      <c r="F2739">
        <v>0</v>
      </c>
      <c r="G2739">
        <v>2</v>
      </c>
      <c r="H2739">
        <v>1</v>
      </c>
    </row>
    <row r="2740" spans="1:8" x14ac:dyDescent="0.3">
      <c r="A2740">
        <v>3</v>
      </c>
      <c r="B2740">
        <v>1</v>
      </c>
      <c r="C2740">
        <v>1</v>
      </c>
      <c r="D2740">
        <v>1</v>
      </c>
      <c r="E2740" t="s">
        <v>14</v>
      </c>
      <c r="F2740">
        <v>1</v>
      </c>
      <c r="G2740">
        <v>0</v>
      </c>
      <c r="H2740">
        <v>2</v>
      </c>
    </row>
    <row r="2741" spans="1:8" x14ac:dyDescent="0.3">
      <c r="A2741">
        <v>3</v>
      </c>
      <c r="B2741">
        <v>1</v>
      </c>
      <c r="C2741">
        <v>0</v>
      </c>
      <c r="D2741">
        <v>2</v>
      </c>
      <c r="E2741" t="s">
        <v>14</v>
      </c>
      <c r="F2741">
        <v>1</v>
      </c>
      <c r="G2741">
        <v>0</v>
      </c>
      <c r="H2741">
        <v>2</v>
      </c>
    </row>
    <row r="2742" spans="1:8" x14ac:dyDescent="0.3">
      <c r="A2742">
        <v>3</v>
      </c>
      <c r="B2742">
        <v>0</v>
      </c>
      <c r="C2742">
        <v>2</v>
      </c>
      <c r="D2742">
        <v>1</v>
      </c>
      <c r="E2742" t="s">
        <v>14</v>
      </c>
      <c r="F2742">
        <v>0</v>
      </c>
      <c r="G2742">
        <v>2</v>
      </c>
      <c r="H2742">
        <v>1</v>
      </c>
    </row>
    <row r="2743" spans="1:8" x14ac:dyDescent="0.3">
      <c r="A2743">
        <v>3</v>
      </c>
      <c r="B2743">
        <v>1</v>
      </c>
      <c r="C2743">
        <v>1</v>
      </c>
      <c r="D2743">
        <v>1</v>
      </c>
      <c r="E2743" t="s">
        <v>14</v>
      </c>
      <c r="F2743">
        <v>2</v>
      </c>
      <c r="G2743">
        <v>1</v>
      </c>
      <c r="H2743">
        <v>0</v>
      </c>
    </row>
    <row r="2744" spans="1:8" x14ac:dyDescent="0.3">
      <c r="A2744">
        <v>3</v>
      </c>
      <c r="B2744">
        <v>1</v>
      </c>
      <c r="C2744">
        <v>1</v>
      </c>
      <c r="D2744">
        <v>1</v>
      </c>
      <c r="E2744" t="s">
        <v>14</v>
      </c>
      <c r="F2744">
        <v>1</v>
      </c>
      <c r="G2744">
        <v>0</v>
      </c>
      <c r="H2744">
        <v>2</v>
      </c>
    </row>
    <row r="2745" spans="1:8" x14ac:dyDescent="0.3">
      <c r="A2745">
        <v>3</v>
      </c>
      <c r="B2745">
        <v>1</v>
      </c>
      <c r="C2745">
        <v>1</v>
      </c>
      <c r="D2745">
        <v>1</v>
      </c>
      <c r="E2745" t="s">
        <v>14</v>
      </c>
      <c r="F2745">
        <v>1</v>
      </c>
      <c r="G2745">
        <v>1</v>
      </c>
      <c r="H2745">
        <v>1</v>
      </c>
    </row>
    <row r="2746" spans="1:8" x14ac:dyDescent="0.3">
      <c r="A2746">
        <v>3</v>
      </c>
      <c r="B2746">
        <v>2</v>
      </c>
      <c r="C2746">
        <v>1</v>
      </c>
      <c r="D2746">
        <v>0</v>
      </c>
      <c r="E2746" t="s">
        <v>14</v>
      </c>
      <c r="F2746">
        <v>2</v>
      </c>
      <c r="G2746">
        <v>1</v>
      </c>
      <c r="H2746">
        <v>0</v>
      </c>
    </row>
    <row r="2747" spans="1:8" x14ac:dyDescent="0.3">
      <c r="A2747">
        <v>3</v>
      </c>
      <c r="B2747">
        <v>1</v>
      </c>
      <c r="C2747">
        <v>0</v>
      </c>
      <c r="D2747">
        <v>2</v>
      </c>
      <c r="E2747" t="s">
        <v>14</v>
      </c>
      <c r="F2747">
        <v>1</v>
      </c>
      <c r="G2747">
        <v>0</v>
      </c>
      <c r="H2747">
        <v>2</v>
      </c>
    </row>
    <row r="2748" spans="1:8" x14ac:dyDescent="0.3">
      <c r="A2748">
        <v>3</v>
      </c>
      <c r="B2748">
        <v>1</v>
      </c>
      <c r="C2748">
        <v>1</v>
      </c>
      <c r="D2748">
        <v>1</v>
      </c>
      <c r="E2748" t="s">
        <v>14</v>
      </c>
      <c r="F2748">
        <v>1</v>
      </c>
      <c r="G2748">
        <v>1</v>
      </c>
      <c r="H2748">
        <v>1</v>
      </c>
    </row>
    <row r="2749" spans="1:8" x14ac:dyDescent="0.3">
      <c r="A2749">
        <v>3</v>
      </c>
      <c r="B2749">
        <v>1</v>
      </c>
      <c r="C2749">
        <v>1</v>
      </c>
      <c r="D2749">
        <v>1</v>
      </c>
      <c r="E2749" t="s">
        <v>14</v>
      </c>
      <c r="F2749">
        <v>1</v>
      </c>
      <c r="G2749">
        <v>1</v>
      </c>
      <c r="H2749">
        <v>1</v>
      </c>
    </row>
    <row r="2750" spans="1:8" x14ac:dyDescent="0.3">
      <c r="A2750">
        <v>3</v>
      </c>
      <c r="B2750">
        <v>1</v>
      </c>
      <c r="C2750">
        <v>1</v>
      </c>
      <c r="D2750">
        <v>1</v>
      </c>
      <c r="E2750" t="s">
        <v>14</v>
      </c>
      <c r="F2750">
        <v>0</v>
      </c>
      <c r="G2750">
        <v>2</v>
      </c>
      <c r="H2750">
        <v>1</v>
      </c>
    </row>
    <row r="2751" spans="1:8" x14ac:dyDescent="0.3">
      <c r="A2751">
        <v>3</v>
      </c>
      <c r="B2751">
        <v>1</v>
      </c>
      <c r="C2751">
        <v>1</v>
      </c>
      <c r="D2751">
        <v>1</v>
      </c>
      <c r="E2751" t="s">
        <v>14</v>
      </c>
      <c r="F2751">
        <v>1</v>
      </c>
      <c r="G2751">
        <v>1</v>
      </c>
      <c r="H2751">
        <v>1</v>
      </c>
    </row>
    <row r="2752" spans="1:8" x14ac:dyDescent="0.3">
      <c r="A2752">
        <v>3</v>
      </c>
      <c r="B2752">
        <v>0</v>
      </c>
      <c r="C2752">
        <v>2</v>
      </c>
      <c r="D2752">
        <v>1</v>
      </c>
      <c r="E2752" t="s">
        <v>14</v>
      </c>
      <c r="F2752">
        <v>0</v>
      </c>
      <c r="G2752">
        <v>2</v>
      </c>
      <c r="H2752">
        <v>1</v>
      </c>
    </row>
    <row r="2753" spans="1:8" x14ac:dyDescent="0.3">
      <c r="A2753">
        <v>3</v>
      </c>
      <c r="B2753">
        <v>1</v>
      </c>
      <c r="C2753">
        <v>1</v>
      </c>
      <c r="D2753">
        <v>1</v>
      </c>
      <c r="E2753" t="s">
        <v>14</v>
      </c>
      <c r="F2753">
        <v>1</v>
      </c>
      <c r="G2753">
        <v>1</v>
      </c>
      <c r="H2753">
        <v>1</v>
      </c>
    </row>
    <row r="2754" spans="1:8" x14ac:dyDescent="0.3">
      <c r="A2754">
        <v>3</v>
      </c>
      <c r="B2754">
        <v>1</v>
      </c>
      <c r="C2754">
        <v>1</v>
      </c>
      <c r="D2754">
        <v>1</v>
      </c>
      <c r="E2754" t="s">
        <v>14</v>
      </c>
      <c r="F2754">
        <v>1</v>
      </c>
      <c r="G2754">
        <v>1</v>
      </c>
      <c r="H2754">
        <v>1</v>
      </c>
    </row>
    <row r="2755" spans="1:8" x14ac:dyDescent="0.3">
      <c r="A2755">
        <v>3</v>
      </c>
      <c r="B2755">
        <v>1</v>
      </c>
      <c r="C2755">
        <v>1</v>
      </c>
      <c r="D2755">
        <v>1</v>
      </c>
      <c r="E2755" t="s">
        <v>14</v>
      </c>
      <c r="F2755">
        <v>1</v>
      </c>
      <c r="G2755">
        <v>1</v>
      </c>
      <c r="H2755">
        <v>1</v>
      </c>
    </row>
    <row r="2756" spans="1:8" x14ac:dyDescent="0.3">
      <c r="A2756">
        <v>3</v>
      </c>
      <c r="B2756">
        <v>1</v>
      </c>
      <c r="C2756">
        <v>1</v>
      </c>
      <c r="D2756">
        <v>1</v>
      </c>
      <c r="E2756" t="s">
        <v>14</v>
      </c>
      <c r="F2756">
        <v>1</v>
      </c>
      <c r="G2756">
        <v>1</v>
      </c>
      <c r="H2756">
        <v>1</v>
      </c>
    </row>
    <row r="2757" spans="1:8" x14ac:dyDescent="0.3">
      <c r="A2757">
        <v>3</v>
      </c>
      <c r="B2757">
        <v>0</v>
      </c>
      <c r="C2757">
        <v>2</v>
      </c>
      <c r="D2757">
        <v>1</v>
      </c>
      <c r="E2757" t="s">
        <v>14</v>
      </c>
      <c r="F2757">
        <v>2</v>
      </c>
      <c r="G2757">
        <v>1</v>
      </c>
      <c r="H2757">
        <v>0</v>
      </c>
    </row>
    <row r="2758" spans="1:8" x14ac:dyDescent="0.3">
      <c r="A2758">
        <v>3</v>
      </c>
      <c r="B2758">
        <v>1</v>
      </c>
      <c r="C2758">
        <v>1</v>
      </c>
      <c r="D2758">
        <v>1</v>
      </c>
      <c r="E2758" t="s">
        <v>14</v>
      </c>
      <c r="F2758">
        <v>1</v>
      </c>
      <c r="G2758">
        <v>1</v>
      </c>
      <c r="H2758">
        <v>1</v>
      </c>
    </row>
    <row r="2759" spans="1:8" x14ac:dyDescent="0.3">
      <c r="A2759">
        <v>3</v>
      </c>
      <c r="B2759">
        <v>0</v>
      </c>
      <c r="C2759">
        <v>2</v>
      </c>
      <c r="D2759">
        <v>1</v>
      </c>
      <c r="E2759" t="s">
        <v>14</v>
      </c>
      <c r="F2759">
        <v>0</v>
      </c>
      <c r="G2759">
        <v>2</v>
      </c>
      <c r="H2759">
        <v>1</v>
      </c>
    </row>
    <row r="2760" spans="1:8" x14ac:dyDescent="0.3">
      <c r="A2760">
        <v>3</v>
      </c>
      <c r="B2760">
        <v>0</v>
      </c>
      <c r="C2760">
        <v>2</v>
      </c>
      <c r="D2760">
        <v>1</v>
      </c>
      <c r="E2760" t="s">
        <v>14</v>
      </c>
      <c r="F2760">
        <v>0</v>
      </c>
      <c r="G2760">
        <v>2</v>
      </c>
      <c r="H2760">
        <v>1</v>
      </c>
    </row>
    <row r="2761" spans="1:8" x14ac:dyDescent="0.3">
      <c r="A2761">
        <v>3</v>
      </c>
      <c r="B2761">
        <v>1</v>
      </c>
      <c r="C2761">
        <v>1</v>
      </c>
      <c r="D2761">
        <v>1</v>
      </c>
      <c r="E2761" t="s">
        <v>14</v>
      </c>
      <c r="F2761">
        <v>1</v>
      </c>
      <c r="G2761">
        <v>1</v>
      </c>
      <c r="H2761">
        <v>1</v>
      </c>
    </row>
    <row r="2762" spans="1:8" x14ac:dyDescent="0.3">
      <c r="A2762">
        <v>3</v>
      </c>
      <c r="B2762">
        <v>1</v>
      </c>
      <c r="C2762">
        <v>1</v>
      </c>
      <c r="D2762">
        <v>1</v>
      </c>
      <c r="E2762" t="s">
        <v>14</v>
      </c>
      <c r="F2762">
        <v>0</v>
      </c>
      <c r="G2762">
        <v>2</v>
      </c>
      <c r="H2762">
        <v>1</v>
      </c>
    </row>
    <row r="2763" spans="1:8" x14ac:dyDescent="0.3">
      <c r="A2763">
        <v>3</v>
      </c>
      <c r="B2763">
        <v>1</v>
      </c>
      <c r="C2763">
        <v>1</v>
      </c>
      <c r="D2763">
        <v>1</v>
      </c>
      <c r="E2763" t="s">
        <v>14</v>
      </c>
      <c r="F2763">
        <v>1</v>
      </c>
      <c r="G2763">
        <v>1</v>
      </c>
      <c r="H2763">
        <v>1</v>
      </c>
    </row>
    <row r="2764" spans="1:8" x14ac:dyDescent="0.3">
      <c r="A2764">
        <v>3</v>
      </c>
      <c r="B2764">
        <v>2</v>
      </c>
      <c r="C2764">
        <v>1</v>
      </c>
      <c r="D2764">
        <v>0</v>
      </c>
      <c r="E2764" t="s">
        <v>14</v>
      </c>
      <c r="F2764">
        <v>0</v>
      </c>
      <c r="G2764">
        <v>2</v>
      </c>
      <c r="H2764">
        <v>1</v>
      </c>
    </row>
    <row r="2765" spans="1:8" x14ac:dyDescent="0.3">
      <c r="A2765">
        <v>3</v>
      </c>
      <c r="B2765">
        <v>2</v>
      </c>
      <c r="C2765">
        <v>1</v>
      </c>
      <c r="D2765">
        <v>0</v>
      </c>
      <c r="E2765" t="s">
        <v>14</v>
      </c>
      <c r="F2765">
        <v>2</v>
      </c>
      <c r="G2765">
        <v>1</v>
      </c>
      <c r="H2765">
        <v>0</v>
      </c>
    </row>
    <row r="2766" spans="1:8" x14ac:dyDescent="0.3">
      <c r="A2766">
        <v>3</v>
      </c>
      <c r="B2766">
        <v>2</v>
      </c>
      <c r="C2766">
        <v>1</v>
      </c>
      <c r="D2766">
        <v>0</v>
      </c>
      <c r="E2766" t="s">
        <v>14</v>
      </c>
      <c r="F2766">
        <v>2</v>
      </c>
      <c r="G2766">
        <v>1</v>
      </c>
      <c r="H2766">
        <v>0</v>
      </c>
    </row>
    <row r="2767" spans="1:8" x14ac:dyDescent="0.3">
      <c r="A2767">
        <v>3</v>
      </c>
      <c r="B2767">
        <v>1</v>
      </c>
      <c r="C2767">
        <v>1</v>
      </c>
      <c r="D2767">
        <v>1</v>
      </c>
      <c r="E2767" t="s">
        <v>14</v>
      </c>
      <c r="F2767">
        <v>1</v>
      </c>
      <c r="G2767">
        <v>1</v>
      </c>
      <c r="H2767">
        <v>1</v>
      </c>
    </row>
    <row r="2768" spans="1:8" x14ac:dyDescent="0.3">
      <c r="A2768">
        <v>3</v>
      </c>
      <c r="B2768">
        <v>1</v>
      </c>
      <c r="C2768">
        <v>1</v>
      </c>
      <c r="D2768">
        <v>1</v>
      </c>
      <c r="E2768" t="s">
        <v>14</v>
      </c>
      <c r="F2768">
        <v>1</v>
      </c>
      <c r="G2768">
        <v>0</v>
      </c>
      <c r="H2768">
        <v>2</v>
      </c>
    </row>
    <row r="2769" spans="1:8" x14ac:dyDescent="0.3">
      <c r="A2769">
        <v>3</v>
      </c>
      <c r="B2769">
        <v>1</v>
      </c>
      <c r="C2769">
        <v>1</v>
      </c>
      <c r="D2769">
        <v>1</v>
      </c>
      <c r="E2769" t="s">
        <v>14</v>
      </c>
      <c r="F2769">
        <v>1</v>
      </c>
      <c r="G2769">
        <v>1</v>
      </c>
      <c r="H2769">
        <v>1</v>
      </c>
    </row>
    <row r="2770" spans="1:8" x14ac:dyDescent="0.3">
      <c r="A2770">
        <v>4</v>
      </c>
      <c r="B2770">
        <v>1</v>
      </c>
      <c r="C2770">
        <v>2</v>
      </c>
      <c r="D2770">
        <v>1</v>
      </c>
      <c r="E2770" t="s">
        <v>14</v>
      </c>
      <c r="F2770">
        <v>1</v>
      </c>
      <c r="G2770">
        <v>2</v>
      </c>
      <c r="H2770">
        <v>1</v>
      </c>
    </row>
    <row r="2771" spans="1:8" x14ac:dyDescent="0.3">
      <c r="A2771">
        <v>4</v>
      </c>
      <c r="B2771">
        <v>1</v>
      </c>
      <c r="C2771">
        <v>1</v>
      </c>
      <c r="D2771">
        <v>2</v>
      </c>
      <c r="E2771" t="s">
        <v>14</v>
      </c>
      <c r="F2771">
        <v>2</v>
      </c>
      <c r="G2771">
        <v>0</v>
      </c>
      <c r="H2771">
        <v>2</v>
      </c>
    </row>
    <row r="2772" spans="1:8" x14ac:dyDescent="0.3">
      <c r="A2772">
        <v>4</v>
      </c>
      <c r="B2772">
        <v>1</v>
      </c>
      <c r="C2772">
        <v>2</v>
      </c>
      <c r="D2772">
        <v>1</v>
      </c>
      <c r="E2772" t="s">
        <v>14</v>
      </c>
      <c r="F2772">
        <v>1</v>
      </c>
      <c r="G2772">
        <v>2</v>
      </c>
      <c r="H2772">
        <v>1</v>
      </c>
    </row>
    <row r="2773" spans="1:8" x14ac:dyDescent="0.3">
      <c r="A2773">
        <v>4</v>
      </c>
      <c r="B2773">
        <v>2</v>
      </c>
      <c r="C2773">
        <v>1</v>
      </c>
      <c r="D2773">
        <v>1</v>
      </c>
      <c r="E2773" t="s">
        <v>14</v>
      </c>
      <c r="F2773">
        <v>2</v>
      </c>
      <c r="G2773">
        <v>1</v>
      </c>
      <c r="H2773">
        <v>1</v>
      </c>
    </row>
    <row r="2774" spans="1:8" x14ac:dyDescent="0.3">
      <c r="A2774">
        <v>4</v>
      </c>
      <c r="B2774">
        <v>1</v>
      </c>
      <c r="C2774">
        <v>1</v>
      </c>
      <c r="D2774">
        <v>2</v>
      </c>
      <c r="E2774" t="s">
        <v>14</v>
      </c>
      <c r="F2774">
        <v>2</v>
      </c>
      <c r="G2774">
        <v>0</v>
      </c>
      <c r="H2774">
        <v>2</v>
      </c>
    </row>
    <row r="2775" spans="1:8" x14ac:dyDescent="0.3">
      <c r="A2775">
        <v>4</v>
      </c>
      <c r="B2775">
        <v>1</v>
      </c>
      <c r="C2775">
        <v>2</v>
      </c>
      <c r="D2775">
        <v>1</v>
      </c>
      <c r="E2775" t="s">
        <v>14</v>
      </c>
      <c r="F2775">
        <v>1</v>
      </c>
      <c r="G2775">
        <v>2</v>
      </c>
      <c r="H2775">
        <v>1</v>
      </c>
    </row>
    <row r="2776" spans="1:8" x14ac:dyDescent="0.3">
      <c r="A2776">
        <v>4</v>
      </c>
      <c r="B2776">
        <v>2</v>
      </c>
      <c r="C2776">
        <v>1</v>
      </c>
      <c r="D2776">
        <v>1</v>
      </c>
      <c r="E2776" t="s">
        <v>14</v>
      </c>
      <c r="F2776">
        <v>2</v>
      </c>
      <c r="G2776">
        <v>0</v>
      </c>
      <c r="H2776">
        <v>2</v>
      </c>
    </row>
    <row r="2777" spans="1:8" x14ac:dyDescent="0.3">
      <c r="A2777">
        <v>4</v>
      </c>
      <c r="B2777">
        <v>2</v>
      </c>
      <c r="C2777">
        <v>1</v>
      </c>
      <c r="D2777">
        <v>1</v>
      </c>
      <c r="E2777" t="s">
        <v>14</v>
      </c>
      <c r="F2777">
        <v>2</v>
      </c>
      <c r="G2777">
        <v>1</v>
      </c>
      <c r="H2777">
        <v>1</v>
      </c>
    </row>
    <row r="2778" spans="1:8" x14ac:dyDescent="0.3">
      <c r="A2778">
        <v>4</v>
      </c>
      <c r="B2778">
        <v>2</v>
      </c>
      <c r="C2778">
        <v>1</v>
      </c>
      <c r="D2778">
        <v>1</v>
      </c>
      <c r="E2778" t="s">
        <v>14</v>
      </c>
      <c r="F2778">
        <v>2</v>
      </c>
      <c r="G2778">
        <v>0</v>
      </c>
      <c r="H2778">
        <v>2</v>
      </c>
    </row>
    <row r="2779" spans="1:8" x14ac:dyDescent="0.3">
      <c r="A2779">
        <v>4</v>
      </c>
      <c r="B2779">
        <v>2</v>
      </c>
      <c r="C2779">
        <v>1</v>
      </c>
      <c r="D2779">
        <v>1</v>
      </c>
      <c r="E2779" t="s">
        <v>14</v>
      </c>
      <c r="F2779">
        <v>2</v>
      </c>
      <c r="G2779">
        <v>2</v>
      </c>
      <c r="H2779">
        <v>0</v>
      </c>
    </row>
    <row r="2780" spans="1:8" x14ac:dyDescent="0.3">
      <c r="A2780">
        <v>4</v>
      </c>
      <c r="B2780">
        <v>1</v>
      </c>
      <c r="C2780">
        <v>2</v>
      </c>
      <c r="D2780">
        <v>1</v>
      </c>
      <c r="E2780" t="s">
        <v>14</v>
      </c>
      <c r="F2780">
        <v>0</v>
      </c>
      <c r="G2780">
        <v>2</v>
      </c>
      <c r="H2780">
        <v>2</v>
      </c>
    </row>
    <row r="2781" spans="1:8" x14ac:dyDescent="0.3">
      <c r="A2781">
        <v>5</v>
      </c>
      <c r="B2781">
        <v>1</v>
      </c>
      <c r="C2781">
        <v>2</v>
      </c>
      <c r="D2781">
        <v>2</v>
      </c>
      <c r="E2781" t="s">
        <v>14</v>
      </c>
      <c r="F2781">
        <v>1</v>
      </c>
      <c r="G2781">
        <v>2</v>
      </c>
      <c r="H2781">
        <v>2</v>
      </c>
    </row>
    <row r="2782" spans="1:8" x14ac:dyDescent="0.3">
      <c r="A2782">
        <v>5</v>
      </c>
      <c r="B2782">
        <v>2</v>
      </c>
      <c r="C2782">
        <v>1</v>
      </c>
      <c r="D2782">
        <v>2</v>
      </c>
      <c r="E2782" t="s">
        <v>14</v>
      </c>
      <c r="F2782">
        <v>3</v>
      </c>
      <c r="G2782">
        <v>0</v>
      </c>
      <c r="H2782">
        <v>2</v>
      </c>
    </row>
    <row r="2783" spans="1:8" x14ac:dyDescent="0.3">
      <c r="A2783">
        <v>5</v>
      </c>
      <c r="B2783">
        <v>1</v>
      </c>
      <c r="C2783">
        <v>2</v>
      </c>
      <c r="D2783">
        <v>2</v>
      </c>
      <c r="E2783" t="s">
        <v>14</v>
      </c>
      <c r="F2783">
        <v>1</v>
      </c>
      <c r="G2783">
        <v>2</v>
      </c>
      <c r="H2783">
        <v>2</v>
      </c>
    </row>
    <row r="2784" spans="1:8" x14ac:dyDescent="0.3">
      <c r="A2784">
        <v>5</v>
      </c>
      <c r="B2784">
        <v>1</v>
      </c>
      <c r="C2784">
        <v>2</v>
      </c>
      <c r="D2784">
        <v>2</v>
      </c>
      <c r="E2784" t="s">
        <v>14</v>
      </c>
      <c r="F2784">
        <v>2</v>
      </c>
      <c r="G2784">
        <v>3</v>
      </c>
      <c r="H2784">
        <v>0</v>
      </c>
    </row>
    <row r="2785" spans="1:8" x14ac:dyDescent="0.3">
      <c r="A2785">
        <v>5</v>
      </c>
      <c r="B2785">
        <v>2</v>
      </c>
      <c r="C2785">
        <v>1</v>
      </c>
      <c r="D2785">
        <v>2</v>
      </c>
      <c r="E2785" t="s">
        <v>14</v>
      </c>
      <c r="F2785">
        <v>0</v>
      </c>
      <c r="G2785">
        <v>2</v>
      </c>
      <c r="H2785">
        <v>3</v>
      </c>
    </row>
    <row r="2786" spans="1:8" x14ac:dyDescent="0.3">
      <c r="A2786">
        <v>5</v>
      </c>
      <c r="B2786">
        <v>1</v>
      </c>
      <c r="C2786">
        <v>2</v>
      </c>
      <c r="D2786">
        <v>2</v>
      </c>
      <c r="E2786" t="s">
        <v>14</v>
      </c>
      <c r="F2786">
        <v>3</v>
      </c>
      <c r="G2786">
        <v>0</v>
      </c>
      <c r="H2786">
        <v>2</v>
      </c>
    </row>
    <row r="2787" spans="1:8" x14ac:dyDescent="0.3">
      <c r="A2787">
        <v>5</v>
      </c>
      <c r="B2787">
        <v>2</v>
      </c>
      <c r="C2787">
        <v>2</v>
      </c>
      <c r="D2787">
        <v>1</v>
      </c>
      <c r="E2787" t="s">
        <v>14</v>
      </c>
      <c r="F2787">
        <v>0</v>
      </c>
      <c r="G2787">
        <v>2</v>
      </c>
      <c r="H2787">
        <v>3</v>
      </c>
    </row>
    <row r="2788" spans="1:8" x14ac:dyDescent="0.3">
      <c r="A2788">
        <v>5</v>
      </c>
      <c r="B2788">
        <v>1</v>
      </c>
      <c r="C2788">
        <v>2</v>
      </c>
      <c r="D2788">
        <v>2</v>
      </c>
      <c r="E2788" t="s">
        <v>14</v>
      </c>
      <c r="F2788">
        <v>1</v>
      </c>
      <c r="G2788">
        <v>2</v>
      </c>
      <c r="H2788">
        <v>2</v>
      </c>
    </row>
    <row r="2789" spans="1:8" x14ac:dyDescent="0.3">
      <c r="A2789">
        <v>5</v>
      </c>
      <c r="B2789">
        <v>1</v>
      </c>
      <c r="C2789">
        <v>2</v>
      </c>
      <c r="D2789">
        <v>2</v>
      </c>
      <c r="E2789" t="s">
        <v>14</v>
      </c>
      <c r="F2789">
        <v>0</v>
      </c>
      <c r="G2789">
        <v>2</v>
      </c>
      <c r="H2789">
        <v>3</v>
      </c>
    </row>
    <row r="2790" spans="1:8" x14ac:dyDescent="0.3">
      <c r="A2790">
        <v>5</v>
      </c>
      <c r="B2790">
        <v>2</v>
      </c>
      <c r="C2790">
        <v>1</v>
      </c>
      <c r="D2790">
        <v>2</v>
      </c>
      <c r="E2790" t="s">
        <v>14</v>
      </c>
      <c r="F2790">
        <v>2</v>
      </c>
      <c r="G2790">
        <v>1</v>
      </c>
      <c r="H2790">
        <v>2</v>
      </c>
    </row>
    <row r="2791" spans="1:8" x14ac:dyDescent="0.3">
      <c r="A2791">
        <v>5</v>
      </c>
      <c r="B2791">
        <v>2</v>
      </c>
      <c r="C2791">
        <v>2</v>
      </c>
      <c r="D2791">
        <v>1</v>
      </c>
      <c r="E2791" t="s">
        <v>14</v>
      </c>
      <c r="F2791">
        <v>2</v>
      </c>
      <c r="G2791">
        <v>3</v>
      </c>
      <c r="H2791">
        <v>0</v>
      </c>
    </row>
    <row r="2792" spans="1:8" x14ac:dyDescent="0.3">
      <c r="A2792">
        <v>5</v>
      </c>
      <c r="B2792">
        <v>2</v>
      </c>
      <c r="C2792">
        <v>1</v>
      </c>
      <c r="D2792">
        <v>2</v>
      </c>
      <c r="E2792" t="s">
        <v>14</v>
      </c>
      <c r="F2792">
        <v>3</v>
      </c>
      <c r="G2792">
        <v>0</v>
      </c>
      <c r="H2792">
        <v>2</v>
      </c>
    </row>
    <row r="2793" spans="1:8" x14ac:dyDescent="0.3">
      <c r="A2793">
        <v>5</v>
      </c>
      <c r="B2793">
        <v>2</v>
      </c>
      <c r="C2793">
        <v>1</v>
      </c>
      <c r="D2793">
        <v>2</v>
      </c>
      <c r="E2793" t="s">
        <v>14</v>
      </c>
      <c r="F2793">
        <v>2</v>
      </c>
      <c r="G2793">
        <v>1</v>
      </c>
      <c r="H2793">
        <v>2</v>
      </c>
    </row>
    <row r="2794" spans="1:8" x14ac:dyDescent="0.3">
      <c r="A2794">
        <v>6</v>
      </c>
      <c r="B2794">
        <v>1</v>
      </c>
      <c r="C2794">
        <v>2</v>
      </c>
      <c r="D2794">
        <v>3</v>
      </c>
      <c r="E2794" t="s">
        <v>14</v>
      </c>
      <c r="F2794">
        <v>1</v>
      </c>
      <c r="G2794">
        <v>2</v>
      </c>
      <c r="H2794">
        <v>3</v>
      </c>
    </row>
    <row r="2795" spans="1:8" x14ac:dyDescent="0.3">
      <c r="A2795">
        <v>6</v>
      </c>
      <c r="B2795">
        <v>3</v>
      </c>
      <c r="C2795">
        <v>1</v>
      </c>
      <c r="D2795">
        <v>2</v>
      </c>
      <c r="E2795" t="s">
        <v>14</v>
      </c>
      <c r="F2795">
        <v>3</v>
      </c>
      <c r="G2795">
        <v>1</v>
      </c>
      <c r="H2795">
        <v>2</v>
      </c>
    </row>
    <row r="2796" spans="1:8" x14ac:dyDescent="0.3">
      <c r="A2796">
        <v>6</v>
      </c>
      <c r="B2796">
        <v>2</v>
      </c>
      <c r="C2796">
        <v>3</v>
      </c>
      <c r="D2796">
        <v>1</v>
      </c>
      <c r="E2796" t="s">
        <v>14</v>
      </c>
      <c r="F2796">
        <v>2</v>
      </c>
      <c r="G2796">
        <v>3</v>
      </c>
      <c r="H2796">
        <v>1</v>
      </c>
    </row>
    <row r="2797" spans="1:8" x14ac:dyDescent="0.3">
      <c r="A2797">
        <v>7</v>
      </c>
      <c r="B2797">
        <v>2</v>
      </c>
      <c r="C2797">
        <v>2</v>
      </c>
      <c r="D2797">
        <v>3</v>
      </c>
      <c r="E2797" t="s">
        <v>14</v>
      </c>
      <c r="F2797">
        <v>2</v>
      </c>
      <c r="G2797">
        <v>2</v>
      </c>
      <c r="H2797">
        <v>3</v>
      </c>
    </row>
    <row r="2798" spans="1:8" x14ac:dyDescent="0.3">
      <c r="A2798">
        <v>7</v>
      </c>
      <c r="B2798">
        <v>2</v>
      </c>
      <c r="C2798">
        <v>2</v>
      </c>
      <c r="D2798">
        <v>3</v>
      </c>
      <c r="E2798" t="s">
        <v>14</v>
      </c>
      <c r="F2798">
        <v>2</v>
      </c>
      <c r="G2798">
        <v>2</v>
      </c>
      <c r="H2798">
        <v>3</v>
      </c>
    </row>
    <row r="2799" spans="1:8" x14ac:dyDescent="0.3">
      <c r="A2799">
        <v>7</v>
      </c>
      <c r="B2799">
        <v>2</v>
      </c>
      <c r="C2799">
        <v>2</v>
      </c>
      <c r="D2799">
        <v>3</v>
      </c>
      <c r="E2799" t="s">
        <v>14</v>
      </c>
      <c r="F2799">
        <v>2</v>
      </c>
      <c r="G2799">
        <v>2</v>
      </c>
      <c r="H2799">
        <v>3</v>
      </c>
    </row>
    <row r="2800" spans="1:8" x14ac:dyDescent="0.3">
      <c r="A2800">
        <v>8</v>
      </c>
      <c r="B2800">
        <v>2</v>
      </c>
      <c r="C2800">
        <v>3</v>
      </c>
      <c r="D2800">
        <v>3</v>
      </c>
      <c r="E2800" t="s">
        <v>14</v>
      </c>
      <c r="F2800">
        <v>2</v>
      </c>
      <c r="G2800">
        <v>3</v>
      </c>
      <c r="H2800">
        <v>3</v>
      </c>
    </row>
    <row r="2801" spans="1:8" x14ac:dyDescent="0.3">
      <c r="A2801">
        <v>2</v>
      </c>
      <c r="B2801">
        <v>0</v>
      </c>
      <c r="C2801">
        <v>1</v>
      </c>
      <c r="D2801">
        <v>1</v>
      </c>
      <c r="E2801" t="s">
        <v>14</v>
      </c>
      <c r="F2801">
        <v>0</v>
      </c>
      <c r="G2801">
        <v>1</v>
      </c>
      <c r="H2801">
        <v>1</v>
      </c>
    </row>
    <row r="2802" spans="1:8" x14ac:dyDescent="0.3">
      <c r="A2802">
        <v>2</v>
      </c>
      <c r="B2802">
        <v>1</v>
      </c>
      <c r="C2802">
        <v>0</v>
      </c>
      <c r="D2802">
        <v>1</v>
      </c>
      <c r="E2802" t="s">
        <v>14</v>
      </c>
      <c r="F2802">
        <v>1</v>
      </c>
      <c r="G2802">
        <v>0</v>
      </c>
      <c r="H2802">
        <v>1</v>
      </c>
    </row>
    <row r="2803" spans="1:8" x14ac:dyDescent="0.3">
      <c r="A2803">
        <v>2</v>
      </c>
      <c r="B2803">
        <v>1</v>
      </c>
      <c r="C2803">
        <v>1</v>
      </c>
      <c r="D2803">
        <v>0</v>
      </c>
      <c r="E2803" t="s">
        <v>14</v>
      </c>
      <c r="F2803">
        <v>0</v>
      </c>
      <c r="G2803">
        <v>0</v>
      </c>
      <c r="H2803">
        <v>2</v>
      </c>
    </row>
    <row r="2804" spans="1:8" x14ac:dyDescent="0.3">
      <c r="A2804">
        <v>2</v>
      </c>
      <c r="B2804">
        <v>0</v>
      </c>
      <c r="C2804">
        <v>1</v>
      </c>
      <c r="D2804">
        <v>1</v>
      </c>
      <c r="E2804" t="s">
        <v>14</v>
      </c>
      <c r="F2804">
        <v>0</v>
      </c>
      <c r="G2804">
        <v>0</v>
      </c>
      <c r="H2804">
        <v>2</v>
      </c>
    </row>
    <row r="2805" spans="1:8" x14ac:dyDescent="0.3">
      <c r="A2805">
        <v>2</v>
      </c>
      <c r="B2805">
        <v>0</v>
      </c>
      <c r="C2805">
        <v>1</v>
      </c>
      <c r="D2805">
        <v>1</v>
      </c>
      <c r="E2805" t="s">
        <v>14</v>
      </c>
      <c r="F2805">
        <v>0</v>
      </c>
      <c r="G2805">
        <v>1</v>
      </c>
      <c r="H2805">
        <v>1</v>
      </c>
    </row>
    <row r="2806" spans="1:8" x14ac:dyDescent="0.3">
      <c r="A2806">
        <v>3</v>
      </c>
      <c r="B2806">
        <v>1</v>
      </c>
      <c r="C2806">
        <v>1</v>
      </c>
      <c r="D2806">
        <v>1</v>
      </c>
      <c r="E2806" t="s">
        <v>14</v>
      </c>
      <c r="F2806">
        <v>1</v>
      </c>
      <c r="G2806">
        <v>1</v>
      </c>
      <c r="H2806">
        <v>1</v>
      </c>
    </row>
    <row r="2807" spans="1:8" x14ac:dyDescent="0.3">
      <c r="A2807">
        <v>3</v>
      </c>
      <c r="B2807">
        <v>1</v>
      </c>
      <c r="C2807">
        <v>1</v>
      </c>
      <c r="D2807">
        <v>1</v>
      </c>
      <c r="E2807" t="s">
        <v>14</v>
      </c>
      <c r="F2807">
        <v>0</v>
      </c>
      <c r="G2807">
        <v>2</v>
      </c>
      <c r="H2807">
        <v>1</v>
      </c>
    </row>
    <row r="2808" spans="1:8" x14ac:dyDescent="0.3">
      <c r="A2808">
        <v>3</v>
      </c>
      <c r="B2808">
        <v>1</v>
      </c>
      <c r="C2808">
        <v>1</v>
      </c>
      <c r="D2808">
        <v>1</v>
      </c>
      <c r="E2808" t="s">
        <v>14</v>
      </c>
      <c r="F2808">
        <v>1</v>
      </c>
      <c r="G2808">
        <v>1</v>
      </c>
      <c r="H2808">
        <v>1</v>
      </c>
    </row>
    <row r="2809" spans="1:8" x14ac:dyDescent="0.3">
      <c r="A2809">
        <v>3</v>
      </c>
      <c r="B2809">
        <v>2</v>
      </c>
      <c r="C2809">
        <v>1</v>
      </c>
      <c r="D2809">
        <v>0</v>
      </c>
      <c r="E2809" t="s">
        <v>14</v>
      </c>
      <c r="F2809">
        <v>0</v>
      </c>
      <c r="G2809">
        <v>2</v>
      </c>
      <c r="H2809">
        <v>1</v>
      </c>
    </row>
    <row r="2810" spans="1:8" x14ac:dyDescent="0.3">
      <c r="A2810">
        <v>3</v>
      </c>
      <c r="B2810">
        <v>1</v>
      </c>
      <c r="C2810">
        <v>1</v>
      </c>
      <c r="D2810">
        <v>1</v>
      </c>
      <c r="E2810" t="s">
        <v>14</v>
      </c>
      <c r="F2810">
        <v>2</v>
      </c>
      <c r="G2810">
        <v>1</v>
      </c>
      <c r="H2810">
        <v>0</v>
      </c>
    </row>
    <row r="2811" spans="1:8" x14ac:dyDescent="0.3">
      <c r="A2811">
        <v>3</v>
      </c>
      <c r="B2811">
        <v>1</v>
      </c>
      <c r="C2811">
        <v>1</v>
      </c>
      <c r="D2811">
        <v>1</v>
      </c>
      <c r="E2811" t="s">
        <v>14</v>
      </c>
      <c r="F2811">
        <v>0</v>
      </c>
      <c r="G2811">
        <v>2</v>
      </c>
      <c r="H2811">
        <v>1</v>
      </c>
    </row>
    <row r="2812" spans="1:8" x14ac:dyDescent="0.3">
      <c r="A2812">
        <v>3</v>
      </c>
      <c r="B2812">
        <v>1</v>
      </c>
      <c r="C2812">
        <v>1</v>
      </c>
      <c r="D2812">
        <v>1</v>
      </c>
      <c r="E2812" t="s">
        <v>14</v>
      </c>
      <c r="F2812">
        <v>1</v>
      </c>
      <c r="G2812">
        <v>0</v>
      </c>
      <c r="H2812">
        <v>2</v>
      </c>
    </row>
    <row r="2813" spans="1:8" x14ac:dyDescent="0.3">
      <c r="A2813">
        <v>3</v>
      </c>
      <c r="B2813">
        <v>1</v>
      </c>
      <c r="C2813">
        <v>1</v>
      </c>
      <c r="D2813">
        <v>1</v>
      </c>
      <c r="E2813" t="s">
        <v>14</v>
      </c>
      <c r="F2813">
        <v>2</v>
      </c>
      <c r="G2813">
        <v>1</v>
      </c>
      <c r="H2813">
        <v>0</v>
      </c>
    </row>
    <row r="2814" spans="1:8" x14ac:dyDescent="0.3">
      <c r="A2814">
        <v>3</v>
      </c>
      <c r="B2814">
        <v>1</v>
      </c>
      <c r="C2814">
        <v>0</v>
      </c>
      <c r="D2814">
        <v>2</v>
      </c>
      <c r="E2814" t="s">
        <v>14</v>
      </c>
      <c r="F2814">
        <v>2</v>
      </c>
      <c r="G2814">
        <v>1</v>
      </c>
      <c r="H2814">
        <v>0</v>
      </c>
    </row>
    <row r="2815" spans="1:8" x14ac:dyDescent="0.3">
      <c r="A2815">
        <v>3</v>
      </c>
      <c r="B2815">
        <v>0</v>
      </c>
      <c r="C2815">
        <v>2</v>
      </c>
      <c r="D2815">
        <v>1</v>
      </c>
      <c r="E2815" t="s">
        <v>14</v>
      </c>
      <c r="F2815">
        <v>2</v>
      </c>
      <c r="G2815">
        <v>1</v>
      </c>
      <c r="H2815">
        <v>0</v>
      </c>
    </row>
    <row r="2816" spans="1:8" x14ac:dyDescent="0.3">
      <c r="A2816">
        <v>3</v>
      </c>
      <c r="B2816">
        <v>1</v>
      </c>
      <c r="C2816">
        <v>1</v>
      </c>
      <c r="D2816">
        <v>1</v>
      </c>
      <c r="E2816" t="s">
        <v>14</v>
      </c>
      <c r="F2816">
        <v>1</v>
      </c>
      <c r="G2816">
        <v>1</v>
      </c>
      <c r="H2816">
        <v>1</v>
      </c>
    </row>
    <row r="2817" spans="1:8" x14ac:dyDescent="0.3">
      <c r="A2817">
        <v>3</v>
      </c>
      <c r="B2817">
        <v>1</v>
      </c>
      <c r="C2817">
        <v>1</v>
      </c>
      <c r="D2817">
        <v>1</v>
      </c>
      <c r="E2817" t="s">
        <v>14</v>
      </c>
      <c r="F2817">
        <v>1</v>
      </c>
      <c r="G2817">
        <v>1</v>
      </c>
      <c r="H2817">
        <v>1</v>
      </c>
    </row>
    <row r="2818" spans="1:8" x14ac:dyDescent="0.3">
      <c r="A2818">
        <v>3</v>
      </c>
      <c r="B2818">
        <v>1</v>
      </c>
      <c r="C2818">
        <v>1</v>
      </c>
      <c r="D2818">
        <v>1</v>
      </c>
      <c r="E2818" t="s">
        <v>14</v>
      </c>
      <c r="F2818">
        <v>1</v>
      </c>
      <c r="G2818">
        <v>1</v>
      </c>
      <c r="H2818">
        <v>1</v>
      </c>
    </row>
    <row r="2819" spans="1:8" x14ac:dyDescent="0.3">
      <c r="A2819">
        <v>3</v>
      </c>
      <c r="B2819">
        <v>1</v>
      </c>
      <c r="C2819">
        <v>1</v>
      </c>
      <c r="D2819">
        <v>1</v>
      </c>
      <c r="E2819" t="s">
        <v>14</v>
      </c>
      <c r="F2819">
        <v>1</v>
      </c>
      <c r="G2819">
        <v>1</v>
      </c>
      <c r="H2819">
        <v>1</v>
      </c>
    </row>
    <row r="2820" spans="1:8" x14ac:dyDescent="0.3">
      <c r="A2820">
        <v>3</v>
      </c>
      <c r="B2820">
        <v>1</v>
      </c>
      <c r="C2820">
        <v>1</v>
      </c>
      <c r="D2820">
        <v>1</v>
      </c>
      <c r="E2820" t="s">
        <v>14</v>
      </c>
      <c r="F2820">
        <v>1</v>
      </c>
      <c r="G2820">
        <v>1</v>
      </c>
      <c r="H2820">
        <v>1</v>
      </c>
    </row>
    <row r="2821" spans="1:8" x14ac:dyDescent="0.3">
      <c r="A2821">
        <v>3</v>
      </c>
      <c r="B2821">
        <v>0</v>
      </c>
      <c r="C2821">
        <v>2</v>
      </c>
      <c r="D2821">
        <v>1</v>
      </c>
      <c r="E2821" t="s">
        <v>14</v>
      </c>
      <c r="F2821">
        <v>0</v>
      </c>
      <c r="G2821">
        <v>2</v>
      </c>
      <c r="H2821">
        <v>1</v>
      </c>
    </row>
    <row r="2822" spans="1:8" x14ac:dyDescent="0.3">
      <c r="A2822">
        <v>3</v>
      </c>
      <c r="B2822">
        <v>1</v>
      </c>
      <c r="C2822">
        <v>1</v>
      </c>
      <c r="D2822">
        <v>1</v>
      </c>
      <c r="E2822" t="s">
        <v>14</v>
      </c>
      <c r="F2822">
        <v>1</v>
      </c>
      <c r="G2822">
        <v>1</v>
      </c>
      <c r="H2822">
        <v>1</v>
      </c>
    </row>
    <row r="2823" spans="1:8" x14ac:dyDescent="0.3">
      <c r="A2823">
        <v>3</v>
      </c>
      <c r="B2823">
        <v>1</v>
      </c>
      <c r="C2823">
        <v>1</v>
      </c>
      <c r="D2823">
        <v>1</v>
      </c>
      <c r="E2823" t="s">
        <v>14</v>
      </c>
      <c r="F2823">
        <v>1</v>
      </c>
      <c r="G2823">
        <v>0</v>
      </c>
      <c r="H2823">
        <v>2</v>
      </c>
    </row>
    <row r="2824" spans="1:8" x14ac:dyDescent="0.3">
      <c r="A2824">
        <v>3</v>
      </c>
      <c r="B2824">
        <v>1</v>
      </c>
      <c r="C2824">
        <v>1</v>
      </c>
      <c r="D2824">
        <v>1</v>
      </c>
      <c r="E2824" t="s">
        <v>14</v>
      </c>
      <c r="F2824">
        <v>0</v>
      </c>
      <c r="G2824">
        <v>2</v>
      </c>
      <c r="H2824">
        <v>1</v>
      </c>
    </row>
    <row r="2825" spans="1:8" x14ac:dyDescent="0.3">
      <c r="A2825">
        <v>3</v>
      </c>
      <c r="B2825">
        <v>1</v>
      </c>
      <c r="C2825">
        <v>1</v>
      </c>
      <c r="D2825">
        <v>1</v>
      </c>
      <c r="E2825" t="s">
        <v>14</v>
      </c>
      <c r="F2825">
        <v>1</v>
      </c>
      <c r="G2825">
        <v>1</v>
      </c>
      <c r="H2825">
        <v>1</v>
      </c>
    </row>
    <row r="2826" spans="1:8" x14ac:dyDescent="0.3">
      <c r="A2826">
        <v>3</v>
      </c>
      <c r="B2826">
        <v>1</v>
      </c>
      <c r="C2826">
        <v>1</v>
      </c>
      <c r="D2826">
        <v>1</v>
      </c>
      <c r="E2826" t="s">
        <v>14</v>
      </c>
      <c r="F2826">
        <v>1</v>
      </c>
      <c r="G2826">
        <v>0</v>
      </c>
      <c r="H2826">
        <v>2</v>
      </c>
    </row>
    <row r="2827" spans="1:8" x14ac:dyDescent="0.3">
      <c r="A2827">
        <v>3</v>
      </c>
      <c r="B2827">
        <v>1</v>
      </c>
      <c r="C2827">
        <v>1</v>
      </c>
      <c r="D2827">
        <v>1</v>
      </c>
      <c r="E2827" t="s">
        <v>14</v>
      </c>
      <c r="F2827">
        <v>1</v>
      </c>
      <c r="G2827">
        <v>1</v>
      </c>
      <c r="H2827">
        <v>1</v>
      </c>
    </row>
    <row r="2828" spans="1:8" x14ac:dyDescent="0.3">
      <c r="A2828">
        <v>3</v>
      </c>
      <c r="B2828">
        <v>1</v>
      </c>
      <c r="C2828">
        <v>1</v>
      </c>
      <c r="D2828">
        <v>1</v>
      </c>
      <c r="E2828" t="s">
        <v>14</v>
      </c>
      <c r="F2828">
        <v>0</v>
      </c>
      <c r="G2828">
        <v>2</v>
      </c>
      <c r="H2828">
        <v>1</v>
      </c>
    </row>
    <row r="2829" spans="1:8" x14ac:dyDescent="0.3">
      <c r="A2829">
        <v>3</v>
      </c>
      <c r="B2829">
        <v>1</v>
      </c>
      <c r="C2829">
        <v>1</v>
      </c>
      <c r="D2829">
        <v>1</v>
      </c>
      <c r="E2829" t="s">
        <v>14</v>
      </c>
      <c r="F2829">
        <v>1</v>
      </c>
      <c r="G2829">
        <v>1</v>
      </c>
      <c r="H2829">
        <v>1</v>
      </c>
    </row>
    <row r="2830" spans="1:8" x14ac:dyDescent="0.3">
      <c r="A2830">
        <v>3</v>
      </c>
      <c r="B2830">
        <v>1</v>
      </c>
      <c r="C2830">
        <v>1</v>
      </c>
      <c r="D2830">
        <v>1</v>
      </c>
      <c r="E2830" t="s">
        <v>14</v>
      </c>
      <c r="F2830">
        <v>2</v>
      </c>
      <c r="G2830">
        <v>1</v>
      </c>
      <c r="H2830">
        <v>0</v>
      </c>
    </row>
    <row r="2831" spans="1:8" x14ac:dyDescent="0.3">
      <c r="A2831">
        <v>3</v>
      </c>
      <c r="B2831">
        <v>1</v>
      </c>
      <c r="C2831">
        <v>1</v>
      </c>
      <c r="D2831">
        <v>1</v>
      </c>
      <c r="E2831" t="s">
        <v>14</v>
      </c>
      <c r="F2831">
        <v>1</v>
      </c>
      <c r="G2831">
        <v>0</v>
      </c>
      <c r="H2831">
        <v>2</v>
      </c>
    </row>
    <row r="2832" spans="1:8" x14ac:dyDescent="0.3">
      <c r="A2832">
        <v>3</v>
      </c>
      <c r="B2832">
        <v>1</v>
      </c>
      <c r="C2832">
        <v>1</v>
      </c>
      <c r="D2832">
        <v>1</v>
      </c>
      <c r="E2832" t="s">
        <v>14</v>
      </c>
      <c r="F2832">
        <v>2</v>
      </c>
      <c r="G2832">
        <v>1</v>
      </c>
      <c r="H2832">
        <v>0</v>
      </c>
    </row>
    <row r="2833" spans="1:8" x14ac:dyDescent="0.3">
      <c r="A2833">
        <v>3</v>
      </c>
      <c r="B2833">
        <v>2</v>
      </c>
      <c r="C2833">
        <v>1</v>
      </c>
      <c r="D2833">
        <v>0</v>
      </c>
      <c r="E2833" t="s">
        <v>14</v>
      </c>
      <c r="F2833">
        <v>0</v>
      </c>
      <c r="G2833">
        <v>2</v>
      </c>
      <c r="H2833">
        <v>1</v>
      </c>
    </row>
    <row r="2834" spans="1:8" x14ac:dyDescent="0.3">
      <c r="A2834">
        <v>3</v>
      </c>
      <c r="B2834">
        <v>2</v>
      </c>
      <c r="C2834">
        <v>1</v>
      </c>
      <c r="D2834">
        <v>0</v>
      </c>
      <c r="E2834" t="s">
        <v>14</v>
      </c>
      <c r="F2834">
        <v>2</v>
      </c>
      <c r="G2834">
        <v>1</v>
      </c>
      <c r="H2834">
        <v>0</v>
      </c>
    </row>
    <row r="2835" spans="1:8" x14ac:dyDescent="0.3">
      <c r="A2835">
        <v>4</v>
      </c>
      <c r="B2835">
        <v>2</v>
      </c>
      <c r="C2835">
        <v>1</v>
      </c>
      <c r="D2835">
        <v>1</v>
      </c>
      <c r="E2835" t="s">
        <v>14</v>
      </c>
      <c r="F2835">
        <v>2</v>
      </c>
      <c r="G2835">
        <v>1</v>
      </c>
      <c r="H2835">
        <v>1</v>
      </c>
    </row>
    <row r="2836" spans="1:8" x14ac:dyDescent="0.3">
      <c r="A2836">
        <v>4</v>
      </c>
      <c r="B2836">
        <v>1</v>
      </c>
      <c r="C2836">
        <v>2</v>
      </c>
      <c r="D2836">
        <v>1</v>
      </c>
      <c r="E2836" t="s">
        <v>14</v>
      </c>
      <c r="F2836">
        <v>1</v>
      </c>
      <c r="G2836">
        <v>2</v>
      </c>
      <c r="H2836">
        <v>1</v>
      </c>
    </row>
    <row r="2837" spans="1:8" x14ac:dyDescent="0.3">
      <c r="A2837">
        <v>4</v>
      </c>
      <c r="B2837">
        <v>1</v>
      </c>
      <c r="C2837">
        <v>1</v>
      </c>
      <c r="D2837">
        <v>2</v>
      </c>
      <c r="E2837" t="s">
        <v>14</v>
      </c>
      <c r="F2837">
        <v>1</v>
      </c>
      <c r="G2837">
        <v>1</v>
      </c>
      <c r="H2837">
        <v>2</v>
      </c>
    </row>
    <row r="2838" spans="1:8" x14ac:dyDescent="0.3">
      <c r="A2838">
        <v>4</v>
      </c>
      <c r="B2838">
        <v>1</v>
      </c>
      <c r="C2838">
        <v>2</v>
      </c>
      <c r="D2838">
        <v>1</v>
      </c>
      <c r="E2838" t="s">
        <v>14</v>
      </c>
      <c r="F2838">
        <v>1</v>
      </c>
      <c r="G2838">
        <v>2</v>
      </c>
      <c r="H2838">
        <v>1</v>
      </c>
    </row>
    <row r="2839" spans="1:8" x14ac:dyDescent="0.3">
      <c r="A2839">
        <v>4</v>
      </c>
      <c r="B2839">
        <v>2</v>
      </c>
      <c r="C2839">
        <v>1</v>
      </c>
      <c r="D2839">
        <v>1</v>
      </c>
      <c r="E2839" t="s">
        <v>14</v>
      </c>
      <c r="F2839">
        <v>2</v>
      </c>
      <c r="G2839">
        <v>1</v>
      </c>
      <c r="H2839">
        <v>1</v>
      </c>
    </row>
    <row r="2840" spans="1:8" x14ac:dyDescent="0.3">
      <c r="A2840">
        <v>4</v>
      </c>
      <c r="B2840">
        <v>1</v>
      </c>
      <c r="C2840">
        <v>2</v>
      </c>
      <c r="D2840">
        <v>1</v>
      </c>
      <c r="E2840" t="s">
        <v>14</v>
      </c>
      <c r="F2840">
        <v>0</v>
      </c>
      <c r="G2840">
        <v>2</v>
      </c>
      <c r="H2840">
        <v>2</v>
      </c>
    </row>
    <row r="2841" spans="1:8" x14ac:dyDescent="0.3">
      <c r="A2841">
        <v>4</v>
      </c>
      <c r="B2841">
        <v>1</v>
      </c>
      <c r="C2841">
        <v>1</v>
      </c>
      <c r="D2841">
        <v>2</v>
      </c>
      <c r="E2841" t="s">
        <v>14</v>
      </c>
      <c r="F2841">
        <v>1</v>
      </c>
      <c r="G2841">
        <v>1</v>
      </c>
      <c r="H2841">
        <v>2</v>
      </c>
    </row>
    <row r="2842" spans="1:8" x14ac:dyDescent="0.3">
      <c r="A2842">
        <v>4</v>
      </c>
      <c r="B2842">
        <v>1</v>
      </c>
      <c r="C2842">
        <v>2</v>
      </c>
      <c r="D2842">
        <v>1</v>
      </c>
      <c r="E2842" t="s">
        <v>14</v>
      </c>
      <c r="F2842">
        <v>2</v>
      </c>
      <c r="G2842">
        <v>0</v>
      </c>
      <c r="H2842">
        <v>2</v>
      </c>
    </row>
    <row r="2843" spans="1:8" x14ac:dyDescent="0.3">
      <c r="A2843">
        <v>4</v>
      </c>
      <c r="B2843">
        <v>1</v>
      </c>
      <c r="C2843">
        <v>1</v>
      </c>
      <c r="D2843">
        <v>2</v>
      </c>
      <c r="E2843" t="s">
        <v>14</v>
      </c>
      <c r="F2843">
        <v>2</v>
      </c>
      <c r="G2843">
        <v>0</v>
      </c>
      <c r="H2843">
        <v>2</v>
      </c>
    </row>
    <row r="2844" spans="1:8" x14ac:dyDescent="0.3">
      <c r="A2844">
        <v>4</v>
      </c>
      <c r="B2844">
        <v>2</v>
      </c>
      <c r="C2844">
        <v>1</v>
      </c>
      <c r="D2844">
        <v>1</v>
      </c>
      <c r="E2844" t="s">
        <v>14</v>
      </c>
      <c r="F2844">
        <v>0</v>
      </c>
      <c r="G2844">
        <v>2</v>
      </c>
      <c r="H2844">
        <v>2</v>
      </c>
    </row>
    <row r="2845" spans="1:8" x14ac:dyDescent="0.3">
      <c r="A2845">
        <v>4</v>
      </c>
      <c r="B2845">
        <v>1</v>
      </c>
      <c r="C2845">
        <v>1</v>
      </c>
      <c r="D2845">
        <v>2</v>
      </c>
      <c r="E2845" t="s">
        <v>14</v>
      </c>
      <c r="F2845">
        <v>1</v>
      </c>
      <c r="G2845">
        <v>1</v>
      </c>
      <c r="H2845">
        <v>2</v>
      </c>
    </row>
    <row r="2846" spans="1:8" x14ac:dyDescent="0.3">
      <c r="A2846">
        <v>4</v>
      </c>
      <c r="B2846">
        <v>1</v>
      </c>
      <c r="C2846">
        <v>1</v>
      </c>
      <c r="D2846">
        <v>2</v>
      </c>
      <c r="E2846" t="s">
        <v>14</v>
      </c>
      <c r="F2846">
        <v>0</v>
      </c>
      <c r="G2846">
        <v>2</v>
      </c>
      <c r="H2846">
        <v>2</v>
      </c>
    </row>
    <row r="2847" spans="1:8" x14ac:dyDescent="0.3">
      <c r="A2847">
        <v>4</v>
      </c>
      <c r="B2847">
        <v>1</v>
      </c>
      <c r="C2847">
        <v>2</v>
      </c>
      <c r="D2847">
        <v>1</v>
      </c>
      <c r="E2847" t="s">
        <v>14</v>
      </c>
      <c r="F2847">
        <v>1</v>
      </c>
      <c r="G2847">
        <v>2</v>
      </c>
      <c r="H2847">
        <v>1</v>
      </c>
    </row>
    <row r="2848" spans="1:8" x14ac:dyDescent="0.3">
      <c r="A2848">
        <v>5</v>
      </c>
      <c r="B2848">
        <v>1</v>
      </c>
      <c r="C2848">
        <v>2</v>
      </c>
      <c r="D2848">
        <v>2</v>
      </c>
      <c r="E2848" t="s">
        <v>14</v>
      </c>
      <c r="F2848">
        <v>0</v>
      </c>
      <c r="G2848">
        <v>2</v>
      </c>
      <c r="H2848">
        <v>3</v>
      </c>
    </row>
    <row r="2849" spans="1:8" x14ac:dyDescent="0.3">
      <c r="A2849">
        <v>5</v>
      </c>
      <c r="B2849">
        <v>2</v>
      </c>
      <c r="C2849">
        <v>2</v>
      </c>
      <c r="D2849">
        <v>1</v>
      </c>
      <c r="E2849" t="s">
        <v>14</v>
      </c>
      <c r="F2849">
        <v>2</v>
      </c>
      <c r="G2849">
        <v>2</v>
      </c>
      <c r="H2849">
        <v>1</v>
      </c>
    </row>
    <row r="2850" spans="1:8" x14ac:dyDescent="0.3">
      <c r="A2850">
        <v>5</v>
      </c>
      <c r="B2850">
        <v>2</v>
      </c>
      <c r="C2850">
        <v>2</v>
      </c>
      <c r="D2850">
        <v>1</v>
      </c>
      <c r="E2850" t="s">
        <v>14</v>
      </c>
      <c r="F2850">
        <v>2</v>
      </c>
      <c r="G2850">
        <v>2</v>
      </c>
      <c r="H2850">
        <v>1</v>
      </c>
    </row>
    <row r="2851" spans="1:8" x14ac:dyDescent="0.3">
      <c r="A2851">
        <v>5</v>
      </c>
      <c r="B2851">
        <v>2</v>
      </c>
      <c r="C2851">
        <v>2</v>
      </c>
      <c r="D2851">
        <v>1</v>
      </c>
      <c r="E2851" t="s">
        <v>14</v>
      </c>
      <c r="F2851">
        <v>3</v>
      </c>
      <c r="G2851">
        <v>0</v>
      </c>
      <c r="H2851">
        <v>2</v>
      </c>
    </row>
    <row r="2852" spans="1:8" x14ac:dyDescent="0.3">
      <c r="A2852">
        <v>5</v>
      </c>
      <c r="B2852">
        <v>2</v>
      </c>
      <c r="C2852">
        <v>1</v>
      </c>
      <c r="D2852">
        <v>2</v>
      </c>
      <c r="E2852" t="s">
        <v>14</v>
      </c>
      <c r="F2852">
        <v>2</v>
      </c>
      <c r="G2852">
        <v>1</v>
      </c>
      <c r="H2852">
        <v>2</v>
      </c>
    </row>
    <row r="2853" spans="1:8" x14ac:dyDescent="0.3">
      <c r="A2853">
        <v>5</v>
      </c>
      <c r="B2853">
        <v>1</v>
      </c>
      <c r="C2853">
        <v>2</v>
      </c>
      <c r="D2853">
        <v>2</v>
      </c>
      <c r="E2853" t="s">
        <v>14</v>
      </c>
      <c r="F2853">
        <v>0</v>
      </c>
      <c r="G2853">
        <v>2</v>
      </c>
      <c r="H2853">
        <v>3</v>
      </c>
    </row>
    <row r="2854" spans="1:8" x14ac:dyDescent="0.3">
      <c r="A2854">
        <v>5</v>
      </c>
      <c r="B2854">
        <v>2</v>
      </c>
      <c r="C2854">
        <v>2</v>
      </c>
      <c r="D2854">
        <v>1</v>
      </c>
      <c r="E2854" t="s">
        <v>14</v>
      </c>
      <c r="F2854">
        <v>2</v>
      </c>
      <c r="G2854">
        <v>3</v>
      </c>
      <c r="H2854">
        <v>0</v>
      </c>
    </row>
    <row r="2855" spans="1:8" x14ac:dyDescent="0.3">
      <c r="A2855">
        <v>5</v>
      </c>
      <c r="B2855">
        <v>1</v>
      </c>
      <c r="C2855">
        <v>2</v>
      </c>
      <c r="D2855">
        <v>2</v>
      </c>
      <c r="E2855" t="s">
        <v>14</v>
      </c>
      <c r="F2855">
        <v>1</v>
      </c>
      <c r="G2855">
        <v>2</v>
      </c>
      <c r="H2855">
        <v>2</v>
      </c>
    </row>
    <row r="2856" spans="1:8" x14ac:dyDescent="0.3">
      <c r="A2856">
        <v>5</v>
      </c>
      <c r="B2856">
        <v>2</v>
      </c>
      <c r="C2856">
        <v>2</v>
      </c>
      <c r="D2856">
        <v>1</v>
      </c>
      <c r="E2856" t="s">
        <v>14</v>
      </c>
      <c r="F2856">
        <v>2</v>
      </c>
      <c r="G2856">
        <v>2</v>
      </c>
      <c r="H2856">
        <v>1</v>
      </c>
    </row>
    <row r="2857" spans="1:8" x14ac:dyDescent="0.3">
      <c r="A2857">
        <v>5</v>
      </c>
      <c r="B2857">
        <v>2</v>
      </c>
      <c r="C2857">
        <v>2</v>
      </c>
      <c r="D2857">
        <v>1</v>
      </c>
      <c r="E2857" t="s">
        <v>14</v>
      </c>
      <c r="F2857">
        <v>2</v>
      </c>
      <c r="G2857">
        <v>3</v>
      </c>
      <c r="H2857">
        <v>0</v>
      </c>
    </row>
    <row r="2858" spans="1:8" x14ac:dyDescent="0.3">
      <c r="A2858">
        <v>5</v>
      </c>
      <c r="B2858">
        <v>1</v>
      </c>
      <c r="C2858">
        <v>2</v>
      </c>
      <c r="D2858">
        <v>2</v>
      </c>
      <c r="E2858" t="s">
        <v>14</v>
      </c>
      <c r="F2858">
        <v>3</v>
      </c>
      <c r="G2858">
        <v>0</v>
      </c>
      <c r="H2858">
        <v>2</v>
      </c>
    </row>
    <row r="2859" spans="1:8" x14ac:dyDescent="0.3">
      <c r="A2859">
        <v>6</v>
      </c>
      <c r="B2859">
        <v>1</v>
      </c>
      <c r="C2859">
        <v>2</v>
      </c>
      <c r="D2859">
        <v>3</v>
      </c>
      <c r="E2859" t="s">
        <v>14</v>
      </c>
      <c r="F2859">
        <v>1</v>
      </c>
      <c r="G2859">
        <v>2</v>
      </c>
      <c r="H2859">
        <v>3</v>
      </c>
    </row>
    <row r="2860" spans="1:8" x14ac:dyDescent="0.3">
      <c r="A2860">
        <v>6</v>
      </c>
      <c r="B2860">
        <v>3</v>
      </c>
      <c r="C2860">
        <v>1</v>
      </c>
      <c r="D2860">
        <v>2</v>
      </c>
      <c r="E2860" t="s">
        <v>14</v>
      </c>
      <c r="F2860">
        <v>3</v>
      </c>
      <c r="G2860">
        <v>1</v>
      </c>
      <c r="H2860">
        <v>2</v>
      </c>
    </row>
    <row r="2861" spans="1:8" x14ac:dyDescent="0.3">
      <c r="A2861">
        <v>6</v>
      </c>
      <c r="B2861">
        <v>2</v>
      </c>
      <c r="C2861">
        <v>2</v>
      </c>
      <c r="D2861">
        <v>2</v>
      </c>
      <c r="E2861" t="s">
        <v>14</v>
      </c>
      <c r="F2861">
        <v>2</v>
      </c>
      <c r="G2861">
        <v>2</v>
      </c>
      <c r="H2861">
        <v>2</v>
      </c>
    </row>
    <row r="2862" spans="1:8" x14ac:dyDescent="0.3">
      <c r="A2862">
        <v>6</v>
      </c>
      <c r="B2862">
        <v>1</v>
      </c>
      <c r="C2862">
        <v>2</v>
      </c>
      <c r="D2862">
        <v>3</v>
      </c>
      <c r="E2862" t="s">
        <v>14</v>
      </c>
      <c r="F2862">
        <v>1</v>
      </c>
      <c r="G2862">
        <v>2</v>
      </c>
      <c r="H2862">
        <v>3</v>
      </c>
    </row>
    <row r="2863" spans="1:8" x14ac:dyDescent="0.3">
      <c r="A2863">
        <v>7</v>
      </c>
      <c r="B2863">
        <v>3</v>
      </c>
      <c r="C2863">
        <v>2</v>
      </c>
      <c r="D2863">
        <v>2</v>
      </c>
      <c r="E2863" t="s">
        <v>14</v>
      </c>
      <c r="F2863">
        <v>3</v>
      </c>
      <c r="G2863">
        <v>2</v>
      </c>
      <c r="H2863">
        <v>2</v>
      </c>
    </row>
    <row r="2864" spans="1:8" x14ac:dyDescent="0.3">
      <c r="A2864">
        <v>7</v>
      </c>
      <c r="B2864">
        <v>3</v>
      </c>
      <c r="C2864">
        <v>2</v>
      </c>
      <c r="D2864">
        <v>2</v>
      </c>
      <c r="E2864" t="s">
        <v>14</v>
      </c>
      <c r="F2864">
        <v>3</v>
      </c>
      <c r="G2864">
        <v>2</v>
      </c>
      <c r="H2864">
        <v>2</v>
      </c>
    </row>
    <row r="2865" spans="1:8" x14ac:dyDescent="0.3">
      <c r="A2865">
        <v>7</v>
      </c>
      <c r="B2865">
        <v>2</v>
      </c>
      <c r="C2865">
        <v>3</v>
      </c>
      <c r="D2865">
        <v>2</v>
      </c>
      <c r="E2865" t="s">
        <v>14</v>
      </c>
      <c r="F2865">
        <v>2</v>
      </c>
      <c r="G2865">
        <v>3</v>
      </c>
      <c r="H2865">
        <v>2</v>
      </c>
    </row>
    <row r="2866" spans="1:8" x14ac:dyDescent="0.3">
      <c r="A2866">
        <v>7</v>
      </c>
      <c r="B2866">
        <v>2</v>
      </c>
      <c r="C2866">
        <v>3</v>
      </c>
      <c r="D2866">
        <v>2</v>
      </c>
      <c r="E2866" t="s">
        <v>14</v>
      </c>
      <c r="F2866">
        <v>2</v>
      </c>
      <c r="G2866">
        <v>3</v>
      </c>
      <c r="H2866">
        <v>2</v>
      </c>
    </row>
    <row r="2867" spans="1:8" x14ac:dyDescent="0.3">
      <c r="A2867">
        <v>7</v>
      </c>
      <c r="B2867">
        <v>3</v>
      </c>
      <c r="C2867">
        <v>2</v>
      </c>
      <c r="D2867">
        <v>2</v>
      </c>
      <c r="E2867" t="s">
        <v>14</v>
      </c>
      <c r="F2867">
        <v>3</v>
      </c>
      <c r="G2867">
        <v>2</v>
      </c>
      <c r="H2867">
        <v>2</v>
      </c>
    </row>
    <row r="2868" spans="1:8" x14ac:dyDescent="0.3">
      <c r="A2868">
        <v>7</v>
      </c>
      <c r="B2868">
        <v>2</v>
      </c>
      <c r="C2868">
        <v>2</v>
      </c>
      <c r="D2868">
        <v>3</v>
      </c>
      <c r="E2868" t="s">
        <v>14</v>
      </c>
      <c r="F2868">
        <v>2</v>
      </c>
      <c r="G2868">
        <v>2</v>
      </c>
      <c r="H2868">
        <v>3</v>
      </c>
    </row>
    <row r="2869" spans="1:8" x14ac:dyDescent="0.3">
      <c r="A2869">
        <v>7</v>
      </c>
      <c r="B2869">
        <v>3</v>
      </c>
      <c r="C2869">
        <v>2</v>
      </c>
      <c r="D2869">
        <v>2</v>
      </c>
      <c r="E2869" t="s">
        <v>14</v>
      </c>
      <c r="F2869">
        <v>3</v>
      </c>
      <c r="G2869">
        <v>2</v>
      </c>
      <c r="H2869">
        <v>2</v>
      </c>
    </row>
    <row r="2870" spans="1:8" x14ac:dyDescent="0.3">
      <c r="A2870">
        <v>8</v>
      </c>
      <c r="B2870">
        <v>3</v>
      </c>
      <c r="C2870">
        <v>3</v>
      </c>
      <c r="D2870">
        <v>2</v>
      </c>
      <c r="E2870" t="s">
        <v>14</v>
      </c>
      <c r="F2870">
        <v>3</v>
      </c>
      <c r="G2870">
        <v>3</v>
      </c>
      <c r="H2870">
        <v>2</v>
      </c>
    </row>
    <row r="2871" spans="1:8" x14ac:dyDescent="0.3">
      <c r="A2871">
        <v>2</v>
      </c>
      <c r="B2871">
        <v>1</v>
      </c>
      <c r="C2871">
        <v>1</v>
      </c>
      <c r="D2871">
        <v>0</v>
      </c>
      <c r="E2871" t="s">
        <v>14</v>
      </c>
      <c r="F2871">
        <v>1</v>
      </c>
      <c r="G2871">
        <v>1</v>
      </c>
      <c r="H2871">
        <v>0</v>
      </c>
    </row>
    <row r="2872" spans="1:8" x14ac:dyDescent="0.3">
      <c r="A2872">
        <v>2</v>
      </c>
      <c r="B2872">
        <v>1</v>
      </c>
      <c r="C2872">
        <v>0</v>
      </c>
      <c r="D2872">
        <v>1</v>
      </c>
      <c r="E2872" t="s">
        <v>14</v>
      </c>
      <c r="F2872">
        <v>1</v>
      </c>
      <c r="G2872">
        <v>0</v>
      </c>
      <c r="H2872">
        <v>1</v>
      </c>
    </row>
    <row r="2873" spans="1:8" x14ac:dyDescent="0.3">
      <c r="A2873">
        <v>2</v>
      </c>
      <c r="B2873">
        <v>0</v>
      </c>
      <c r="C2873">
        <v>1</v>
      </c>
      <c r="D2873">
        <v>1</v>
      </c>
      <c r="E2873" t="s">
        <v>14</v>
      </c>
      <c r="F2873">
        <v>0</v>
      </c>
      <c r="G2873">
        <v>1</v>
      </c>
      <c r="H2873">
        <v>1</v>
      </c>
    </row>
    <row r="2874" spans="1:8" x14ac:dyDescent="0.3">
      <c r="A2874">
        <v>3</v>
      </c>
      <c r="B2874">
        <v>1</v>
      </c>
      <c r="C2874">
        <v>1</v>
      </c>
      <c r="D2874">
        <v>1</v>
      </c>
      <c r="E2874" t="s">
        <v>14</v>
      </c>
      <c r="F2874">
        <v>1</v>
      </c>
      <c r="G2874">
        <v>1</v>
      </c>
      <c r="H2874">
        <v>1</v>
      </c>
    </row>
    <row r="2875" spans="1:8" x14ac:dyDescent="0.3">
      <c r="A2875">
        <v>3</v>
      </c>
      <c r="B2875">
        <v>2</v>
      </c>
      <c r="C2875">
        <v>1</v>
      </c>
      <c r="D2875">
        <v>0</v>
      </c>
      <c r="E2875" t="s">
        <v>14</v>
      </c>
      <c r="F2875">
        <v>2</v>
      </c>
      <c r="G2875">
        <v>1</v>
      </c>
      <c r="H2875">
        <v>0</v>
      </c>
    </row>
    <row r="2876" spans="1:8" x14ac:dyDescent="0.3">
      <c r="A2876">
        <v>3</v>
      </c>
      <c r="B2876">
        <v>1</v>
      </c>
      <c r="C2876">
        <v>1</v>
      </c>
      <c r="D2876">
        <v>1</v>
      </c>
      <c r="E2876" t="s">
        <v>14</v>
      </c>
      <c r="F2876">
        <v>1</v>
      </c>
      <c r="G2876">
        <v>1</v>
      </c>
      <c r="H2876">
        <v>1</v>
      </c>
    </row>
    <row r="2877" spans="1:8" x14ac:dyDescent="0.3">
      <c r="A2877">
        <v>3</v>
      </c>
      <c r="B2877">
        <v>1</v>
      </c>
      <c r="C2877">
        <v>1</v>
      </c>
      <c r="D2877">
        <v>1</v>
      </c>
      <c r="E2877" t="s">
        <v>14</v>
      </c>
      <c r="F2877">
        <v>1</v>
      </c>
      <c r="G2877">
        <v>0</v>
      </c>
      <c r="H2877">
        <v>2</v>
      </c>
    </row>
    <row r="2878" spans="1:8" x14ac:dyDescent="0.3">
      <c r="A2878">
        <v>3</v>
      </c>
      <c r="B2878">
        <v>1</v>
      </c>
      <c r="C2878">
        <v>0</v>
      </c>
      <c r="D2878">
        <v>2</v>
      </c>
      <c r="E2878" t="s">
        <v>14</v>
      </c>
      <c r="F2878">
        <v>2</v>
      </c>
      <c r="G2878">
        <v>1</v>
      </c>
      <c r="H2878">
        <v>0</v>
      </c>
    </row>
    <row r="2879" spans="1:8" x14ac:dyDescent="0.3">
      <c r="A2879">
        <v>3</v>
      </c>
      <c r="B2879">
        <v>1</v>
      </c>
      <c r="C2879">
        <v>1</v>
      </c>
      <c r="D2879">
        <v>1</v>
      </c>
      <c r="E2879" t="s">
        <v>14</v>
      </c>
      <c r="F2879">
        <v>1</v>
      </c>
      <c r="G2879">
        <v>1</v>
      </c>
      <c r="H2879">
        <v>1</v>
      </c>
    </row>
    <row r="2880" spans="1:8" x14ac:dyDescent="0.3">
      <c r="A2880">
        <v>3</v>
      </c>
      <c r="B2880">
        <v>1</v>
      </c>
      <c r="C2880">
        <v>1</v>
      </c>
      <c r="D2880">
        <v>1</v>
      </c>
      <c r="E2880" t="s">
        <v>14</v>
      </c>
      <c r="F2880">
        <v>1</v>
      </c>
      <c r="G2880">
        <v>1</v>
      </c>
      <c r="H2880">
        <v>1</v>
      </c>
    </row>
    <row r="2881" spans="1:8" x14ac:dyDescent="0.3">
      <c r="A2881">
        <v>3</v>
      </c>
      <c r="B2881">
        <v>0</v>
      </c>
      <c r="C2881">
        <v>2</v>
      </c>
      <c r="D2881">
        <v>1</v>
      </c>
      <c r="E2881" t="s">
        <v>14</v>
      </c>
      <c r="F2881">
        <v>0</v>
      </c>
      <c r="G2881">
        <v>2</v>
      </c>
      <c r="H2881">
        <v>1</v>
      </c>
    </row>
    <row r="2882" spans="1:8" x14ac:dyDescent="0.3">
      <c r="A2882">
        <v>3</v>
      </c>
      <c r="B2882">
        <v>1</v>
      </c>
      <c r="C2882">
        <v>1</v>
      </c>
      <c r="D2882">
        <v>1</v>
      </c>
      <c r="E2882" t="s">
        <v>14</v>
      </c>
      <c r="F2882">
        <v>1</v>
      </c>
      <c r="G2882">
        <v>0</v>
      </c>
      <c r="H2882">
        <v>2</v>
      </c>
    </row>
    <row r="2883" spans="1:8" x14ac:dyDescent="0.3">
      <c r="A2883">
        <v>3</v>
      </c>
      <c r="B2883">
        <v>1</v>
      </c>
      <c r="C2883">
        <v>1</v>
      </c>
      <c r="D2883">
        <v>1</v>
      </c>
      <c r="E2883" t="s">
        <v>14</v>
      </c>
      <c r="F2883">
        <v>1</v>
      </c>
      <c r="G2883">
        <v>1</v>
      </c>
      <c r="H2883">
        <v>1</v>
      </c>
    </row>
    <row r="2884" spans="1:8" x14ac:dyDescent="0.3">
      <c r="A2884">
        <v>3</v>
      </c>
      <c r="B2884">
        <v>0</v>
      </c>
      <c r="C2884">
        <v>2</v>
      </c>
      <c r="D2884">
        <v>1</v>
      </c>
      <c r="E2884" t="s">
        <v>14</v>
      </c>
      <c r="F2884">
        <v>2</v>
      </c>
      <c r="G2884">
        <v>1</v>
      </c>
      <c r="H2884">
        <v>0</v>
      </c>
    </row>
    <row r="2885" spans="1:8" x14ac:dyDescent="0.3">
      <c r="A2885">
        <v>3</v>
      </c>
      <c r="B2885">
        <v>1</v>
      </c>
      <c r="C2885">
        <v>1</v>
      </c>
      <c r="D2885">
        <v>1</v>
      </c>
      <c r="E2885" t="s">
        <v>14</v>
      </c>
      <c r="F2885">
        <v>1</v>
      </c>
      <c r="G2885">
        <v>1</v>
      </c>
      <c r="H2885">
        <v>1</v>
      </c>
    </row>
    <row r="2886" spans="1:8" x14ac:dyDescent="0.3">
      <c r="A2886">
        <v>3</v>
      </c>
      <c r="B2886">
        <v>1</v>
      </c>
      <c r="C2886">
        <v>1</v>
      </c>
      <c r="D2886">
        <v>1</v>
      </c>
      <c r="E2886" t="s">
        <v>14</v>
      </c>
      <c r="F2886">
        <v>1</v>
      </c>
      <c r="G2886">
        <v>1</v>
      </c>
      <c r="H2886">
        <v>1</v>
      </c>
    </row>
    <row r="2887" spans="1:8" x14ac:dyDescent="0.3">
      <c r="A2887">
        <v>3</v>
      </c>
      <c r="B2887">
        <v>1</v>
      </c>
      <c r="C2887">
        <v>1</v>
      </c>
      <c r="D2887">
        <v>1</v>
      </c>
      <c r="E2887" t="s">
        <v>14</v>
      </c>
      <c r="F2887">
        <v>2</v>
      </c>
      <c r="G2887">
        <v>1</v>
      </c>
      <c r="H2887">
        <v>0</v>
      </c>
    </row>
    <row r="2888" spans="1:8" x14ac:dyDescent="0.3">
      <c r="A2888">
        <v>3</v>
      </c>
      <c r="B2888">
        <v>2</v>
      </c>
      <c r="C2888">
        <v>1</v>
      </c>
      <c r="D2888">
        <v>0</v>
      </c>
      <c r="E2888" t="s">
        <v>14</v>
      </c>
      <c r="F2888">
        <v>2</v>
      </c>
      <c r="G2888">
        <v>1</v>
      </c>
      <c r="H2888">
        <v>0</v>
      </c>
    </row>
    <row r="2889" spans="1:8" x14ac:dyDescent="0.3">
      <c r="A2889">
        <v>3</v>
      </c>
      <c r="B2889">
        <v>1</v>
      </c>
      <c r="C2889">
        <v>0</v>
      </c>
      <c r="D2889">
        <v>2</v>
      </c>
      <c r="E2889" t="s">
        <v>14</v>
      </c>
      <c r="F2889">
        <v>0</v>
      </c>
      <c r="G2889">
        <v>2</v>
      </c>
      <c r="H2889">
        <v>1</v>
      </c>
    </row>
    <row r="2890" spans="1:8" x14ac:dyDescent="0.3">
      <c r="A2890">
        <v>3</v>
      </c>
      <c r="B2890">
        <v>1</v>
      </c>
      <c r="C2890">
        <v>1</v>
      </c>
      <c r="D2890">
        <v>1</v>
      </c>
      <c r="E2890" t="s">
        <v>14</v>
      </c>
      <c r="F2890">
        <v>0</v>
      </c>
      <c r="G2890">
        <v>2</v>
      </c>
      <c r="H2890">
        <v>1</v>
      </c>
    </row>
    <row r="2891" spans="1:8" x14ac:dyDescent="0.3">
      <c r="A2891">
        <v>3</v>
      </c>
      <c r="B2891">
        <v>1</v>
      </c>
      <c r="C2891">
        <v>1</v>
      </c>
      <c r="D2891">
        <v>1</v>
      </c>
      <c r="E2891" t="s">
        <v>14</v>
      </c>
      <c r="F2891">
        <v>2</v>
      </c>
      <c r="G2891">
        <v>1</v>
      </c>
      <c r="H2891">
        <v>0</v>
      </c>
    </row>
    <row r="2892" spans="1:8" x14ac:dyDescent="0.3">
      <c r="A2892">
        <v>3</v>
      </c>
      <c r="B2892">
        <v>1</v>
      </c>
      <c r="C2892">
        <v>1</v>
      </c>
      <c r="D2892">
        <v>1</v>
      </c>
      <c r="E2892" t="s">
        <v>14</v>
      </c>
      <c r="F2892">
        <v>1</v>
      </c>
      <c r="G2892">
        <v>1</v>
      </c>
      <c r="H2892">
        <v>1</v>
      </c>
    </row>
    <row r="2893" spans="1:8" x14ac:dyDescent="0.3">
      <c r="A2893">
        <v>3</v>
      </c>
      <c r="B2893">
        <v>1</v>
      </c>
      <c r="C2893">
        <v>1</v>
      </c>
      <c r="D2893">
        <v>1</v>
      </c>
      <c r="E2893" t="s">
        <v>14</v>
      </c>
      <c r="F2893">
        <v>1</v>
      </c>
      <c r="G2893">
        <v>1</v>
      </c>
      <c r="H2893">
        <v>1</v>
      </c>
    </row>
    <row r="2894" spans="1:8" x14ac:dyDescent="0.3">
      <c r="A2894">
        <v>3</v>
      </c>
      <c r="B2894">
        <v>1</v>
      </c>
      <c r="C2894">
        <v>1</v>
      </c>
      <c r="D2894">
        <v>1</v>
      </c>
      <c r="E2894" t="s">
        <v>14</v>
      </c>
      <c r="F2894">
        <v>1</v>
      </c>
      <c r="G2894">
        <v>0</v>
      </c>
      <c r="H2894">
        <v>2</v>
      </c>
    </row>
    <row r="2895" spans="1:8" x14ac:dyDescent="0.3">
      <c r="A2895">
        <v>3</v>
      </c>
      <c r="B2895">
        <v>1</v>
      </c>
      <c r="C2895">
        <v>1</v>
      </c>
      <c r="D2895">
        <v>1</v>
      </c>
      <c r="E2895" t="s">
        <v>14</v>
      </c>
      <c r="F2895">
        <v>0</v>
      </c>
      <c r="G2895">
        <v>2</v>
      </c>
      <c r="H2895">
        <v>1</v>
      </c>
    </row>
    <row r="2896" spans="1:8" x14ac:dyDescent="0.3">
      <c r="A2896">
        <v>3</v>
      </c>
      <c r="B2896">
        <v>1</v>
      </c>
      <c r="C2896">
        <v>1</v>
      </c>
      <c r="D2896">
        <v>1</v>
      </c>
      <c r="E2896" t="s">
        <v>14</v>
      </c>
      <c r="F2896">
        <v>2</v>
      </c>
      <c r="G2896">
        <v>1</v>
      </c>
      <c r="H2896">
        <v>0</v>
      </c>
    </row>
    <row r="2897" spans="1:8" x14ac:dyDescent="0.3">
      <c r="A2897">
        <v>3</v>
      </c>
      <c r="B2897">
        <v>1</v>
      </c>
      <c r="C2897">
        <v>1</v>
      </c>
      <c r="D2897">
        <v>1</v>
      </c>
      <c r="E2897" t="s">
        <v>14</v>
      </c>
      <c r="F2897">
        <v>0</v>
      </c>
      <c r="G2897">
        <v>2</v>
      </c>
      <c r="H2897">
        <v>1</v>
      </c>
    </row>
    <row r="2898" spans="1:8" x14ac:dyDescent="0.3">
      <c r="A2898">
        <v>3</v>
      </c>
      <c r="B2898">
        <v>1</v>
      </c>
      <c r="C2898">
        <v>1</v>
      </c>
      <c r="D2898">
        <v>1</v>
      </c>
      <c r="E2898" t="s">
        <v>14</v>
      </c>
      <c r="F2898">
        <v>1</v>
      </c>
      <c r="G2898">
        <v>1</v>
      </c>
      <c r="H2898">
        <v>1</v>
      </c>
    </row>
    <row r="2899" spans="1:8" x14ac:dyDescent="0.3">
      <c r="A2899">
        <v>3</v>
      </c>
      <c r="B2899">
        <v>1</v>
      </c>
      <c r="C2899">
        <v>0</v>
      </c>
      <c r="D2899">
        <v>2</v>
      </c>
      <c r="E2899" t="s">
        <v>14</v>
      </c>
      <c r="F2899">
        <v>1</v>
      </c>
      <c r="G2899">
        <v>0</v>
      </c>
      <c r="H2899">
        <v>2</v>
      </c>
    </row>
    <row r="2900" spans="1:8" x14ac:dyDescent="0.3">
      <c r="A2900">
        <v>3</v>
      </c>
      <c r="B2900">
        <v>1</v>
      </c>
      <c r="C2900">
        <v>0</v>
      </c>
      <c r="D2900">
        <v>2</v>
      </c>
      <c r="E2900" t="s">
        <v>14</v>
      </c>
      <c r="F2900">
        <v>0</v>
      </c>
      <c r="G2900">
        <v>2</v>
      </c>
      <c r="H2900">
        <v>1</v>
      </c>
    </row>
    <row r="2901" spans="1:8" x14ac:dyDescent="0.3">
      <c r="A2901">
        <v>3</v>
      </c>
      <c r="B2901">
        <v>1</v>
      </c>
      <c r="C2901">
        <v>1</v>
      </c>
      <c r="D2901">
        <v>1</v>
      </c>
      <c r="E2901" t="s">
        <v>14</v>
      </c>
      <c r="F2901">
        <v>1</v>
      </c>
      <c r="G2901">
        <v>1</v>
      </c>
      <c r="H2901">
        <v>1</v>
      </c>
    </row>
    <row r="2902" spans="1:8" x14ac:dyDescent="0.3">
      <c r="A2902">
        <v>3</v>
      </c>
      <c r="B2902">
        <v>2</v>
      </c>
      <c r="C2902">
        <v>1</v>
      </c>
      <c r="D2902">
        <v>0</v>
      </c>
      <c r="E2902" t="s">
        <v>14</v>
      </c>
      <c r="F2902">
        <v>2</v>
      </c>
      <c r="G2902">
        <v>1</v>
      </c>
      <c r="H2902">
        <v>0</v>
      </c>
    </row>
    <row r="2903" spans="1:8" x14ac:dyDescent="0.3">
      <c r="A2903">
        <v>3</v>
      </c>
      <c r="B2903">
        <v>1</v>
      </c>
      <c r="C2903">
        <v>1</v>
      </c>
      <c r="D2903">
        <v>1</v>
      </c>
      <c r="E2903" t="s">
        <v>14</v>
      </c>
      <c r="F2903">
        <v>2</v>
      </c>
      <c r="G2903">
        <v>1</v>
      </c>
      <c r="H2903">
        <v>0</v>
      </c>
    </row>
    <row r="2904" spans="1:8" x14ac:dyDescent="0.3">
      <c r="A2904">
        <v>3</v>
      </c>
      <c r="B2904">
        <v>1</v>
      </c>
      <c r="C2904">
        <v>1</v>
      </c>
      <c r="D2904">
        <v>1</v>
      </c>
      <c r="E2904" t="s">
        <v>14</v>
      </c>
      <c r="F2904">
        <v>2</v>
      </c>
      <c r="G2904">
        <v>1</v>
      </c>
      <c r="H2904">
        <v>0</v>
      </c>
    </row>
    <row r="2905" spans="1:8" x14ac:dyDescent="0.3">
      <c r="A2905">
        <v>3</v>
      </c>
      <c r="B2905">
        <v>1</v>
      </c>
      <c r="C2905">
        <v>1</v>
      </c>
      <c r="D2905">
        <v>1</v>
      </c>
      <c r="E2905" t="s">
        <v>14</v>
      </c>
      <c r="F2905">
        <v>1</v>
      </c>
      <c r="G2905">
        <v>1</v>
      </c>
      <c r="H2905">
        <v>1</v>
      </c>
    </row>
    <row r="2906" spans="1:8" x14ac:dyDescent="0.3">
      <c r="A2906">
        <v>3</v>
      </c>
      <c r="B2906">
        <v>1</v>
      </c>
      <c r="C2906">
        <v>1</v>
      </c>
      <c r="D2906">
        <v>1</v>
      </c>
      <c r="E2906" t="s">
        <v>14</v>
      </c>
      <c r="F2906">
        <v>1</v>
      </c>
      <c r="G2906">
        <v>1</v>
      </c>
      <c r="H2906">
        <v>1</v>
      </c>
    </row>
    <row r="2907" spans="1:8" x14ac:dyDescent="0.3">
      <c r="A2907">
        <v>3</v>
      </c>
      <c r="B2907">
        <v>1</v>
      </c>
      <c r="C2907">
        <v>1</v>
      </c>
      <c r="D2907">
        <v>1</v>
      </c>
      <c r="E2907" t="s">
        <v>14</v>
      </c>
      <c r="F2907">
        <v>0</v>
      </c>
      <c r="G2907">
        <v>2</v>
      </c>
      <c r="H2907">
        <v>1</v>
      </c>
    </row>
    <row r="2908" spans="1:8" x14ac:dyDescent="0.3">
      <c r="A2908">
        <v>3</v>
      </c>
      <c r="B2908">
        <v>1</v>
      </c>
      <c r="C2908">
        <v>1</v>
      </c>
      <c r="D2908">
        <v>1</v>
      </c>
      <c r="E2908" t="s">
        <v>14</v>
      </c>
      <c r="F2908">
        <v>1</v>
      </c>
      <c r="G2908">
        <v>1</v>
      </c>
      <c r="H2908">
        <v>1</v>
      </c>
    </row>
    <row r="2909" spans="1:8" x14ac:dyDescent="0.3">
      <c r="A2909">
        <v>4</v>
      </c>
      <c r="B2909">
        <v>2</v>
      </c>
      <c r="C2909">
        <v>1</v>
      </c>
      <c r="D2909">
        <v>1</v>
      </c>
      <c r="E2909" t="s">
        <v>14</v>
      </c>
      <c r="F2909">
        <v>2</v>
      </c>
      <c r="G2909">
        <v>1</v>
      </c>
      <c r="H2909">
        <v>1</v>
      </c>
    </row>
    <row r="2910" spans="1:8" x14ac:dyDescent="0.3">
      <c r="A2910">
        <v>4</v>
      </c>
      <c r="B2910">
        <v>2</v>
      </c>
      <c r="C2910">
        <v>1</v>
      </c>
      <c r="D2910">
        <v>1</v>
      </c>
      <c r="E2910" t="s">
        <v>14</v>
      </c>
      <c r="F2910">
        <v>2</v>
      </c>
      <c r="G2910">
        <v>1</v>
      </c>
      <c r="H2910">
        <v>1</v>
      </c>
    </row>
    <row r="2911" spans="1:8" x14ac:dyDescent="0.3">
      <c r="A2911">
        <v>4</v>
      </c>
      <c r="B2911">
        <v>2</v>
      </c>
      <c r="C2911">
        <v>1</v>
      </c>
      <c r="D2911">
        <v>1</v>
      </c>
      <c r="E2911" t="s">
        <v>14</v>
      </c>
      <c r="F2911">
        <v>2</v>
      </c>
      <c r="G2911">
        <v>1</v>
      </c>
      <c r="H2911">
        <v>1</v>
      </c>
    </row>
    <row r="2912" spans="1:8" x14ac:dyDescent="0.3">
      <c r="A2912">
        <v>4</v>
      </c>
      <c r="B2912">
        <v>1</v>
      </c>
      <c r="C2912">
        <v>2</v>
      </c>
      <c r="D2912">
        <v>1</v>
      </c>
      <c r="E2912" t="s">
        <v>14</v>
      </c>
      <c r="F2912">
        <v>0</v>
      </c>
      <c r="G2912">
        <v>2</v>
      </c>
      <c r="H2912">
        <v>2</v>
      </c>
    </row>
    <row r="2913" spans="1:8" x14ac:dyDescent="0.3">
      <c r="A2913">
        <v>4</v>
      </c>
      <c r="B2913">
        <v>1</v>
      </c>
      <c r="C2913">
        <v>2</v>
      </c>
      <c r="D2913">
        <v>1</v>
      </c>
      <c r="E2913" t="s">
        <v>14</v>
      </c>
      <c r="F2913">
        <v>1</v>
      </c>
      <c r="G2913">
        <v>2</v>
      </c>
      <c r="H2913">
        <v>1</v>
      </c>
    </row>
    <row r="2914" spans="1:8" x14ac:dyDescent="0.3">
      <c r="A2914">
        <v>4</v>
      </c>
      <c r="B2914">
        <v>1</v>
      </c>
      <c r="C2914">
        <v>1</v>
      </c>
      <c r="D2914">
        <v>2</v>
      </c>
      <c r="E2914" t="s">
        <v>14</v>
      </c>
      <c r="F2914">
        <v>2</v>
      </c>
      <c r="G2914">
        <v>2</v>
      </c>
      <c r="H2914">
        <v>0</v>
      </c>
    </row>
    <row r="2915" spans="1:8" x14ac:dyDescent="0.3">
      <c r="A2915">
        <v>4</v>
      </c>
      <c r="B2915">
        <v>1</v>
      </c>
      <c r="C2915">
        <v>2</v>
      </c>
      <c r="D2915">
        <v>1</v>
      </c>
      <c r="E2915" t="s">
        <v>14</v>
      </c>
      <c r="F2915">
        <v>2</v>
      </c>
      <c r="G2915">
        <v>2</v>
      </c>
      <c r="H2915">
        <v>0</v>
      </c>
    </row>
    <row r="2916" spans="1:8" x14ac:dyDescent="0.3">
      <c r="A2916">
        <v>4</v>
      </c>
      <c r="B2916">
        <v>2</v>
      </c>
      <c r="C2916">
        <v>1</v>
      </c>
      <c r="D2916">
        <v>1</v>
      </c>
      <c r="E2916" t="s">
        <v>14</v>
      </c>
      <c r="F2916">
        <v>2</v>
      </c>
      <c r="G2916">
        <v>1</v>
      </c>
      <c r="H2916">
        <v>1</v>
      </c>
    </row>
    <row r="2917" spans="1:8" x14ac:dyDescent="0.3">
      <c r="A2917">
        <v>4</v>
      </c>
      <c r="B2917">
        <v>2</v>
      </c>
      <c r="C2917">
        <v>1</v>
      </c>
      <c r="D2917">
        <v>1</v>
      </c>
      <c r="E2917" t="s">
        <v>14</v>
      </c>
      <c r="F2917">
        <v>2</v>
      </c>
      <c r="G2917">
        <v>0</v>
      </c>
      <c r="H2917">
        <v>2</v>
      </c>
    </row>
    <row r="2918" spans="1:8" x14ac:dyDescent="0.3">
      <c r="A2918">
        <v>4</v>
      </c>
      <c r="B2918">
        <v>2</v>
      </c>
      <c r="C2918">
        <v>1</v>
      </c>
      <c r="D2918">
        <v>1</v>
      </c>
      <c r="E2918" t="s">
        <v>14</v>
      </c>
      <c r="F2918">
        <v>2</v>
      </c>
      <c r="G2918">
        <v>1</v>
      </c>
      <c r="H2918">
        <v>1</v>
      </c>
    </row>
    <row r="2919" spans="1:8" x14ac:dyDescent="0.3">
      <c r="A2919">
        <v>4</v>
      </c>
      <c r="B2919">
        <v>1</v>
      </c>
      <c r="C2919">
        <v>1</v>
      </c>
      <c r="D2919">
        <v>2</v>
      </c>
      <c r="E2919" t="s">
        <v>14</v>
      </c>
      <c r="F2919">
        <v>1</v>
      </c>
      <c r="G2919">
        <v>1</v>
      </c>
      <c r="H2919">
        <v>2</v>
      </c>
    </row>
    <row r="2920" spans="1:8" x14ac:dyDescent="0.3">
      <c r="A2920">
        <v>4</v>
      </c>
      <c r="B2920">
        <v>1</v>
      </c>
      <c r="C2920">
        <v>2</v>
      </c>
      <c r="D2920">
        <v>1</v>
      </c>
      <c r="E2920" t="s">
        <v>14</v>
      </c>
      <c r="F2920">
        <v>1</v>
      </c>
      <c r="G2920">
        <v>2</v>
      </c>
      <c r="H2920">
        <v>1</v>
      </c>
    </row>
    <row r="2921" spans="1:8" x14ac:dyDescent="0.3">
      <c r="A2921">
        <v>4</v>
      </c>
      <c r="B2921">
        <v>2</v>
      </c>
      <c r="C2921">
        <v>1</v>
      </c>
      <c r="D2921">
        <v>1</v>
      </c>
      <c r="E2921" t="s">
        <v>14</v>
      </c>
      <c r="F2921">
        <v>2</v>
      </c>
      <c r="G2921">
        <v>0</v>
      </c>
      <c r="H2921">
        <v>2</v>
      </c>
    </row>
    <row r="2922" spans="1:8" x14ac:dyDescent="0.3">
      <c r="A2922">
        <v>4</v>
      </c>
      <c r="B2922">
        <v>1</v>
      </c>
      <c r="C2922">
        <v>2</v>
      </c>
      <c r="D2922">
        <v>1</v>
      </c>
      <c r="E2922" t="s">
        <v>14</v>
      </c>
      <c r="F2922">
        <v>1</v>
      </c>
      <c r="G2922">
        <v>2</v>
      </c>
      <c r="H2922">
        <v>1</v>
      </c>
    </row>
    <row r="2923" spans="1:8" x14ac:dyDescent="0.3">
      <c r="A2923">
        <v>4</v>
      </c>
      <c r="B2923">
        <v>1</v>
      </c>
      <c r="C2923">
        <v>1</v>
      </c>
      <c r="D2923">
        <v>2</v>
      </c>
      <c r="E2923" t="s">
        <v>14</v>
      </c>
      <c r="F2923">
        <v>1</v>
      </c>
      <c r="G2923">
        <v>1</v>
      </c>
      <c r="H2923">
        <v>2</v>
      </c>
    </row>
    <row r="2924" spans="1:8" x14ac:dyDescent="0.3">
      <c r="A2924">
        <v>4</v>
      </c>
      <c r="B2924">
        <v>1</v>
      </c>
      <c r="C2924">
        <v>1</v>
      </c>
      <c r="D2924">
        <v>2</v>
      </c>
      <c r="E2924" t="s">
        <v>14</v>
      </c>
      <c r="F2924">
        <v>1</v>
      </c>
      <c r="G2924">
        <v>1</v>
      </c>
      <c r="H2924">
        <v>2</v>
      </c>
    </row>
    <row r="2925" spans="1:8" x14ac:dyDescent="0.3">
      <c r="A2925">
        <v>4</v>
      </c>
      <c r="B2925">
        <v>1</v>
      </c>
      <c r="C2925">
        <v>1</v>
      </c>
      <c r="D2925">
        <v>2</v>
      </c>
      <c r="E2925" t="s">
        <v>14</v>
      </c>
      <c r="F2925">
        <v>1</v>
      </c>
      <c r="G2925">
        <v>1</v>
      </c>
      <c r="H2925">
        <v>2</v>
      </c>
    </row>
    <row r="2926" spans="1:8" x14ac:dyDescent="0.3">
      <c r="A2926">
        <v>4</v>
      </c>
      <c r="B2926">
        <v>2</v>
      </c>
      <c r="C2926">
        <v>1</v>
      </c>
      <c r="D2926">
        <v>1</v>
      </c>
      <c r="E2926" t="s">
        <v>14</v>
      </c>
      <c r="F2926">
        <v>2</v>
      </c>
      <c r="G2926">
        <v>0</v>
      </c>
      <c r="H2926">
        <v>2</v>
      </c>
    </row>
    <row r="2927" spans="1:8" x14ac:dyDescent="0.3">
      <c r="A2927">
        <v>4</v>
      </c>
      <c r="B2927">
        <v>2</v>
      </c>
      <c r="C2927">
        <v>1</v>
      </c>
      <c r="D2927">
        <v>1</v>
      </c>
      <c r="E2927" t="s">
        <v>14</v>
      </c>
      <c r="F2927">
        <v>2</v>
      </c>
      <c r="G2927">
        <v>0</v>
      </c>
      <c r="H2927">
        <v>2</v>
      </c>
    </row>
    <row r="2928" spans="1:8" x14ac:dyDescent="0.3">
      <c r="A2928">
        <v>5</v>
      </c>
      <c r="B2928">
        <v>1</v>
      </c>
      <c r="C2928">
        <v>2</v>
      </c>
      <c r="D2928">
        <v>2</v>
      </c>
      <c r="E2928" t="s">
        <v>14</v>
      </c>
      <c r="F2928">
        <v>1</v>
      </c>
      <c r="G2928">
        <v>2</v>
      </c>
      <c r="H2928">
        <v>2</v>
      </c>
    </row>
    <row r="2929" spans="1:8" x14ac:dyDescent="0.3">
      <c r="A2929">
        <v>5</v>
      </c>
      <c r="B2929">
        <v>2</v>
      </c>
      <c r="C2929">
        <v>2</v>
      </c>
      <c r="D2929">
        <v>1</v>
      </c>
      <c r="E2929" t="s">
        <v>14</v>
      </c>
      <c r="F2929">
        <v>2</v>
      </c>
      <c r="G2929">
        <v>2</v>
      </c>
      <c r="H2929">
        <v>1</v>
      </c>
    </row>
    <row r="2930" spans="1:8" x14ac:dyDescent="0.3">
      <c r="A2930">
        <v>5</v>
      </c>
      <c r="B2930">
        <v>1</v>
      </c>
      <c r="C2930">
        <v>2</v>
      </c>
      <c r="D2930">
        <v>2</v>
      </c>
      <c r="E2930" t="s">
        <v>14</v>
      </c>
      <c r="F2930">
        <v>1</v>
      </c>
      <c r="G2930">
        <v>2</v>
      </c>
      <c r="H2930">
        <v>2</v>
      </c>
    </row>
    <row r="2931" spans="1:8" x14ac:dyDescent="0.3">
      <c r="A2931">
        <v>5</v>
      </c>
      <c r="B2931">
        <v>1</v>
      </c>
      <c r="C2931">
        <v>2</v>
      </c>
      <c r="D2931">
        <v>2</v>
      </c>
      <c r="E2931" t="s">
        <v>14</v>
      </c>
      <c r="F2931">
        <v>3</v>
      </c>
      <c r="G2931">
        <v>0</v>
      </c>
      <c r="H2931">
        <v>2</v>
      </c>
    </row>
    <row r="2932" spans="1:8" x14ac:dyDescent="0.3">
      <c r="A2932">
        <v>5</v>
      </c>
      <c r="B2932">
        <v>2</v>
      </c>
      <c r="C2932">
        <v>2</v>
      </c>
      <c r="D2932">
        <v>1</v>
      </c>
      <c r="E2932" t="s">
        <v>14</v>
      </c>
      <c r="F2932">
        <v>3</v>
      </c>
      <c r="G2932">
        <v>0</v>
      </c>
      <c r="H2932">
        <v>2</v>
      </c>
    </row>
    <row r="2933" spans="1:8" x14ac:dyDescent="0.3">
      <c r="A2933">
        <v>6</v>
      </c>
      <c r="B2933">
        <v>2</v>
      </c>
      <c r="C2933">
        <v>3</v>
      </c>
      <c r="D2933">
        <v>1</v>
      </c>
      <c r="E2933" t="s">
        <v>14</v>
      </c>
      <c r="F2933">
        <v>2</v>
      </c>
      <c r="G2933">
        <v>3</v>
      </c>
      <c r="H2933">
        <v>1</v>
      </c>
    </row>
    <row r="2934" spans="1:8" x14ac:dyDescent="0.3">
      <c r="A2934">
        <v>6</v>
      </c>
      <c r="B2934">
        <v>1</v>
      </c>
      <c r="C2934">
        <v>2</v>
      </c>
      <c r="D2934">
        <v>3</v>
      </c>
      <c r="E2934" t="s">
        <v>14</v>
      </c>
      <c r="F2934">
        <v>1</v>
      </c>
      <c r="G2934">
        <v>2</v>
      </c>
      <c r="H2934">
        <v>3</v>
      </c>
    </row>
    <row r="2935" spans="1:8" x14ac:dyDescent="0.3">
      <c r="A2935">
        <v>7</v>
      </c>
      <c r="B2935">
        <v>3</v>
      </c>
      <c r="C2935">
        <v>2</v>
      </c>
      <c r="D2935">
        <v>2</v>
      </c>
      <c r="E2935" t="s">
        <v>14</v>
      </c>
      <c r="F2935">
        <v>3</v>
      </c>
      <c r="G2935">
        <v>2</v>
      </c>
      <c r="H2935">
        <v>2</v>
      </c>
    </row>
    <row r="2936" spans="1:8" x14ac:dyDescent="0.3">
      <c r="A2936">
        <v>7</v>
      </c>
      <c r="B2936">
        <v>2</v>
      </c>
      <c r="C2936">
        <v>3</v>
      </c>
      <c r="D2936">
        <v>2</v>
      </c>
      <c r="E2936" t="s">
        <v>14</v>
      </c>
      <c r="F2936">
        <v>2</v>
      </c>
      <c r="G2936">
        <v>3</v>
      </c>
      <c r="H2936">
        <v>2</v>
      </c>
    </row>
    <row r="2937" spans="1:8" x14ac:dyDescent="0.3">
      <c r="A2937">
        <v>8</v>
      </c>
      <c r="B2937">
        <v>2</v>
      </c>
      <c r="C2937">
        <v>3</v>
      </c>
      <c r="D2937">
        <v>3</v>
      </c>
      <c r="E2937" t="s">
        <v>14</v>
      </c>
      <c r="F2937">
        <v>2</v>
      </c>
      <c r="G2937">
        <v>3</v>
      </c>
      <c r="H2937">
        <v>3</v>
      </c>
    </row>
    <row r="2938" spans="1:8" x14ac:dyDescent="0.3">
      <c r="A2938">
        <v>8</v>
      </c>
      <c r="B2938">
        <v>2</v>
      </c>
      <c r="C2938">
        <v>3</v>
      </c>
      <c r="D2938">
        <v>3</v>
      </c>
      <c r="E2938" t="s">
        <v>14</v>
      </c>
      <c r="F2938">
        <v>2</v>
      </c>
      <c r="G2938">
        <v>3</v>
      </c>
      <c r="H2938">
        <v>3</v>
      </c>
    </row>
    <row r="2939" spans="1:8" x14ac:dyDescent="0.3">
      <c r="A2939">
        <v>8</v>
      </c>
      <c r="B2939">
        <v>3</v>
      </c>
      <c r="C2939">
        <v>3</v>
      </c>
      <c r="D2939">
        <v>2</v>
      </c>
      <c r="E2939" t="s">
        <v>14</v>
      </c>
      <c r="F2939">
        <v>3</v>
      </c>
      <c r="G2939">
        <v>3</v>
      </c>
      <c r="H2939">
        <v>2</v>
      </c>
    </row>
    <row r="2940" spans="1:8" x14ac:dyDescent="0.3">
      <c r="A2940">
        <v>8</v>
      </c>
      <c r="B2940">
        <v>3</v>
      </c>
      <c r="C2940">
        <v>3</v>
      </c>
      <c r="D2940">
        <v>2</v>
      </c>
      <c r="E2940" t="s">
        <v>14</v>
      </c>
      <c r="F2940">
        <v>3</v>
      </c>
      <c r="G2940">
        <v>3</v>
      </c>
      <c r="H2940">
        <v>2</v>
      </c>
    </row>
    <row r="2941" spans="1:8" x14ac:dyDescent="0.3">
      <c r="A2941">
        <v>2</v>
      </c>
      <c r="B2941">
        <v>1</v>
      </c>
      <c r="C2941">
        <v>0</v>
      </c>
      <c r="D2941">
        <v>1</v>
      </c>
      <c r="E2941" t="s">
        <v>14</v>
      </c>
      <c r="F2941">
        <v>1</v>
      </c>
      <c r="G2941">
        <v>0</v>
      </c>
      <c r="H2941">
        <v>1</v>
      </c>
    </row>
    <row r="2942" spans="1:8" x14ac:dyDescent="0.3">
      <c r="A2942">
        <v>2</v>
      </c>
      <c r="B2942">
        <v>0</v>
      </c>
      <c r="C2942">
        <v>1</v>
      </c>
      <c r="D2942">
        <v>1</v>
      </c>
      <c r="E2942" t="s">
        <v>14</v>
      </c>
      <c r="F2942">
        <v>0</v>
      </c>
      <c r="G2942">
        <v>1</v>
      </c>
      <c r="H2942">
        <v>1</v>
      </c>
    </row>
    <row r="2943" spans="1:8" x14ac:dyDescent="0.3">
      <c r="A2943">
        <v>2</v>
      </c>
      <c r="B2943">
        <v>1</v>
      </c>
      <c r="C2943">
        <v>1</v>
      </c>
      <c r="D2943">
        <v>0</v>
      </c>
      <c r="E2943" t="s">
        <v>14</v>
      </c>
      <c r="F2943">
        <v>2</v>
      </c>
      <c r="G2943">
        <v>0</v>
      </c>
      <c r="H2943">
        <v>0</v>
      </c>
    </row>
    <row r="2944" spans="1:8" x14ac:dyDescent="0.3">
      <c r="A2944">
        <v>2</v>
      </c>
      <c r="B2944">
        <v>1</v>
      </c>
      <c r="C2944">
        <v>1</v>
      </c>
      <c r="D2944">
        <v>0</v>
      </c>
      <c r="E2944" t="s">
        <v>14</v>
      </c>
      <c r="F2944">
        <v>0</v>
      </c>
      <c r="G2944">
        <v>2</v>
      </c>
      <c r="H2944">
        <v>0</v>
      </c>
    </row>
    <row r="2945" spans="1:8" x14ac:dyDescent="0.3">
      <c r="A2945">
        <v>2</v>
      </c>
      <c r="B2945">
        <v>1</v>
      </c>
      <c r="C2945">
        <v>1</v>
      </c>
      <c r="D2945">
        <v>0</v>
      </c>
      <c r="E2945" t="s">
        <v>14</v>
      </c>
      <c r="F2945">
        <v>0</v>
      </c>
      <c r="G2945">
        <v>2</v>
      </c>
      <c r="H2945">
        <v>0</v>
      </c>
    </row>
    <row r="2946" spans="1:8" x14ac:dyDescent="0.3">
      <c r="A2946">
        <v>2</v>
      </c>
      <c r="B2946">
        <v>1</v>
      </c>
      <c r="C2946">
        <v>1</v>
      </c>
      <c r="D2946">
        <v>0</v>
      </c>
      <c r="E2946" t="s">
        <v>14</v>
      </c>
      <c r="F2946">
        <v>0</v>
      </c>
      <c r="G2946">
        <v>2</v>
      </c>
      <c r="H2946">
        <v>0</v>
      </c>
    </row>
    <row r="2947" spans="1:8" x14ac:dyDescent="0.3">
      <c r="A2947">
        <v>3</v>
      </c>
      <c r="B2947">
        <v>0</v>
      </c>
      <c r="C2947">
        <v>2</v>
      </c>
      <c r="D2947">
        <v>1</v>
      </c>
      <c r="E2947" t="s">
        <v>14</v>
      </c>
      <c r="F2947">
        <v>0</v>
      </c>
      <c r="G2947">
        <v>2</v>
      </c>
      <c r="H2947">
        <v>1</v>
      </c>
    </row>
    <row r="2948" spans="1:8" x14ac:dyDescent="0.3">
      <c r="A2948">
        <v>3</v>
      </c>
      <c r="B2948">
        <v>1</v>
      </c>
      <c r="C2948">
        <v>1</v>
      </c>
      <c r="D2948">
        <v>1</v>
      </c>
      <c r="E2948" t="s">
        <v>14</v>
      </c>
      <c r="F2948">
        <v>1</v>
      </c>
      <c r="G2948">
        <v>0</v>
      </c>
      <c r="H2948">
        <v>2</v>
      </c>
    </row>
    <row r="2949" spans="1:8" x14ac:dyDescent="0.3">
      <c r="A2949">
        <v>3</v>
      </c>
      <c r="B2949">
        <v>1</v>
      </c>
      <c r="C2949">
        <v>1</v>
      </c>
      <c r="D2949">
        <v>1</v>
      </c>
      <c r="E2949" t="s">
        <v>14</v>
      </c>
      <c r="F2949">
        <v>2</v>
      </c>
      <c r="G2949">
        <v>1</v>
      </c>
      <c r="H2949">
        <v>0</v>
      </c>
    </row>
    <row r="2950" spans="1:8" x14ac:dyDescent="0.3">
      <c r="A2950">
        <v>3</v>
      </c>
      <c r="B2950">
        <v>1</v>
      </c>
      <c r="C2950">
        <v>1</v>
      </c>
      <c r="D2950">
        <v>1</v>
      </c>
      <c r="E2950" t="s">
        <v>14</v>
      </c>
      <c r="F2950">
        <v>1</v>
      </c>
      <c r="G2950">
        <v>1</v>
      </c>
      <c r="H2950">
        <v>1</v>
      </c>
    </row>
    <row r="2951" spans="1:8" x14ac:dyDescent="0.3">
      <c r="A2951">
        <v>3</v>
      </c>
      <c r="B2951">
        <v>1</v>
      </c>
      <c r="C2951">
        <v>1</v>
      </c>
      <c r="D2951">
        <v>1</v>
      </c>
      <c r="E2951" t="s">
        <v>14</v>
      </c>
      <c r="F2951">
        <v>0</v>
      </c>
      <c r="G2951">
        <v>2</v>
      </c>
      <c r="H2951">
        <v>1</v>
      </c>
    </row>
    <row r="2952" spans="1:8" x14ac:dyDescent="0.3">
      <c r="A2952">
        <v>3</v>
      </c>
      <c r="B2952">
        <v>1</v>
      </c>
      <c r="C2952">
        <v>1</v>
      </c>
      <c r="D2952">
        <v>1</v>
      </c>
      <c r="E2952" t="s">
        <v>14</v>
      </c>
      <c r="F2952">
        <v>1</v>
      </c>
      <c r="G2952">
        <v>1</v>
      </c>
      <c r="H2952">
        <v>1</v>
      </c>
    </row>
    <row r="2953" spans="1:8" x14ac:dyDescent="0.3">
      <c r="A2953">
        <v>3</v>
      </c>
      <c r="B2953">
        <v>0</v>
      </c>
      <c r="C2953">
        <v>2</v>
      </c>
      <c r="D2953">
        <v>1</v>
      </c>
      <c r="E2953" t="s">
        <v>14</v>
      </c>
      <c r="F2953">
        <v>0</v>
      </c>
      <c r="G2953">
        <v>2</v>
      </c>
      <c r="H2953">
        <v>1</v>
      </c>
    </row>
    <row r="2954" spans="1:8" x14ac:dyDescent="0.3">
      <c r="A2954">
        <v>3</v>
      </c>
      <c r="B2954">
        <v>1</v>
      </c>
      <c r="C2954">
        <v>1</v>
      </c>
      <c r="D2954">
        <v>1</v>
      </c>
      <c r="E2954" t="s">
        <v>14</v>
      </c>
      <c r="F2954">
        <v>2</v>
      </c>
      <c r="G2954">
        <v>1</v>
      </c>
      <c r="H2954">
        <v>0</v>
      </c>
    </row>
    <row r="2955" spans="1:8" x14ac:dyDescent="0.3">
      <c r="A2955">
        <v>3</v>
      </c>
      <c r="B2955">
        <v>1</v>
      </c>
      <c r="C2955">
        <v>1</v>
      </c>
      <c r="D2955">
        <v>1</v>
      </c>
      <c r="E2955" t="s">
        <v>14</v>
      </c>
      <c r="F2955">
        <v>1</v>
      </c>
      <c r="G2955">
        <v>1</v>
      </c>
      <c r="H2955">
        <v>1</v>
      </c>
    </row>
    <row r="2956" spans="1:8" x14ac:dyDescent="0.3">
      <c r="A2956">
        <v>3</v>
      </c>
      <c r="B2956">
        <v>2</v>
      </c>
      <c r="C2956">
        <v>1</v>
      </c>
      <c r="D2956">
        <v>0</v>
      </c>
      <c r="E2956" t="s">
        <v>14</v>
      </c>
      <c r="F2956">
        <v>2</v>
      </c>
      <c r="G2956">
        <v>1</v>
      </c>
      <c r="H2956">
        <v>0</v>
      </c>
    </row>
    <row r="2957" spans="1:8" x14ac:dyDescent="0.3">
      <c r="A2957">
        <v>3</v>
      </c>
      <c r="B2957">
        <v>1</v>
      </c>
      <c r="C2957">
        <v>0</v>
      </c>
      <c r="D2957">
        <v>2</v>
      </c>
      <c r="E2957" t="s">
        <v>14</v>
      </c>
      <c r="F2957">
        <v>1</v>
      </c>
      <c r="G2957">
        <v>0</v>
      </c>
      <c r="H2957">
        <v>2</v>
      </c>
    </row>
    <row r="2958" spans="1:8" x14ac:dyDescent="0.3">
      <c r="A2958">
        <v>3</v>
      </c>
      <c r="B2958">
        <v>1</v>
      </c>
      <c r="C2958">
        <v>1</v>
      </c>
      <c r="D2958">
        <v>1</v>
      </c>
      <c r="E2958" t="s">
        <v>14</v>
      </c>
      <c r="F2958">
        <v>1</v>
      </c>
      <c r="G2958">
        <v>1</v>
      </c>
      <c r="H2958">
        <v>1</v>
      </c>
    </row>
    <row r="2959" spans="1:8" x14ac:dyDescent="0.3">
      <c r="A2959">
        <v>3</v>
      </c>
      <c r="B2959">
        <v>2</v>
      </c>
      <c r="C2959">
        <v>1</v>
      </c>
      <c r="D2959">
        <v>0</v>
      </c>
      <c r="E2959" t="s">
        <v>14</v>
      </c>
      <c r="F2959">
        <v>0</v>
      </c>
      <c r="G2959">
        <v>2</v>
      </c>
      <c r="H2959">
        <v>1</v>
      </c>
    </row>
    <row r="2960" spans="1:8" x14ac:dyDescent="0.3">
      <c r="A2960">
        <v>3</v>
      </c>
      <c r="B2960">
        <v>1</v>
      </c>
      <c r="C2960">
        <v>1</v>
      </c>
      <c r="D2960">
        <v>1</v>
      </c>
      <c r="E2960" t="s">
        <v>14</v>
      </c>
      <c r="F2960">
        <v>0</v>
      </c>
      <c r="G2960">
        <v>2</v>
      </c>
      <c r="H2960">
        <v>1</v>
      </c>
    </row>
    <row r="2961" spans="1:8" x14ac:dyDescent="0.3">
      <c r="A2961">
        <v>3</v>
      </c>
      <c r="B2961">
        <v>2</v>
      </c>
      <c r="C2961">
        <v>1</v>
      </c>
      <c r="D2961">
        <v>0</v>
      </c>
      <c r="E2961" t="s">
        <v>14</v>
      </c>
      <c r="F2961">
        <v>2</v>
      </c>
      <c r="G2961">
        <v>1</v>
      </c>
      <c r="H2961">
        <v>0</v>
      </c>
    </row>
    <row r="2962" spans="1:8" x14ac:dyDescent="0.3">
      <c r="A2962">
        <v>3</v>
      </c>
      <c r="B2962">
        <v>1</v>
      </c>
      <c r="C2962">
        <v>1</v>
      </c>
      <c r="D2962">
        <v>1</v>
      </c>
      <c r="E2962" t="s">
        <v>14</v>
      </c>
      <c r="F2962">
        <v>0</v>
      </c>
      <c r="G2962">
        <v>2</v>
      </c>
      <c r="H2962">
        <v>1</v>
      </c>
    </row>
    <row r="2963" spans="1:8" x14ac:dyDescent="0.3">
      <c r="A2963">
        <v>3</v>
      </c>
      <c r="B2963">
        <v>0</v>
      </c>
      <c r="C2963">
        <v>2</v>
      </c>
      <c r="D2963">
        <v>1</v>
      </c>
      <c r="E2963" t="s">
        <v>14</v>
      </c>
      <c r="F2963">
        <v>0</v>
      </c>
      <c r="G2963">
        <v>2</v>
      </c>
      <c r="H2963">
        <v>1</v>
      </c>
    </row>
    <row r="2964" spans="1:8" x14ac:dyDescent="0.3">
      <c r="A2964">
        <v>3</v>
      </c>
      <c r="B2964">
        <v>1</v>
      </c>
      <c r="C2964">
        <v>1</v>
      </c>
      <c r="D2964">
        <v>1</v>
      </c>
      <c r="E2964" t="s">
        <v>14</v>
      </c>
      <c r="F2964">
        <v>1</v>
      </c>
      <c r="G2964">
        <v>1</v>
      </c>
      <c r="H2964">
        <v>1</v>
      </c>
    </row>
    <row r="2965" spans="1:8" x14ac:dyDescent="0.3">
      <c r="A2965">
        <v>3</v>
      </c>
      <c r="B2965">
        <v>1</v>
      </c>
      <c r="C2965">
        <v>0</v>
      </c>
      <c r="D2965">
        <v>2</v>
      </c>
      <c r="E2965" t="s">
        <v>14</v>
      </c>
      <c r="F2965">
        <v>1</v>
      </c>
      <c r="G2965">
        <v>0</v>
      </c>
      <c r="H2965">
        <v>2</v>
      </c>
    </row>
    <row r="2966" spans="1:8" x14ac:dyDescent="0.3">
      <c r="A2966">
        <v>3</v>
      </c>
      <c r="B2966">
        <v>1</v>
      </c>
      <c r="C2966">
        <v>1</v>
      </c>
      <c r="D2966">
        <v>1</v>
      </c>
      <c r="E2966" t="s">
        <v>14</v>
      </c>
      <c r="F2966">
        <v>1</v>
      </c>
      <c r="G2966">
        <v>1</v>
      </c>
      <c r="H2966">
        <v>1</v>
      </c>
    </row>
    <row r="2967" spans="1:8" x14ac:dyDescent="0.3">
      <c r="A2967">
        <v>3</v>
      </c>
      <c r="B2967">
        <v>1</v>
      </c>
      <c r="C2967">
        <v>1</v>
      </c>
      <c r="D2967">
        <v>1</v>
      </c>
      <c r="E2967" t="s">
        <v>14</v>
      </c>
      <c r="F2967">
        <v>1</v>
      </c>
      <c r="G2967">
        <v>0</v>
      </c>
      <c r="H2967">
        <v>2</v>
      </c>
    </row>
    <row r="2968" spans="1:8" x14ac:dyDescent="0.3">
      <c r="A2968">
        <v>3</v>
      </c>
      <c r="B2968">
        <v>1</v>
      </c>
      <c r="C2968">
        <v>1</v>
      </c>
      <c r="D2968">
        <v>1</v>
      </c>
      <c r="E2968" t="s">
        <v>14</v>
      </c>
      <c r="F2968">
        <v>2</v>
      </c>
      <c r="G2968">
        <v>1</v>
      </c>
      <c r="H2968">
        <v>0</v>
      </c>
    </row>
    <row r="2969" spans="1:8" x14ac:dyDescent="0.3">
      <c r="A2969">
        <v>3</v>
      </c>
      <c r="B2969">
        <v>0</v>
      </c>
      <c r="C2969">
        <v>2</v>
      </c>
      <c r="D2969">
        <v>1</v>
      </c>
      <c r="E2969" t="s">
        <v>14</v>
      </c>
      <c r="F2969">
        <v>1</v>
      </c>
      <c r="G2969">
        <v>0</v>
      </c>
      <c r="H2969">
        <v>2</v>
      </c>
    </row>
    <row r="2970" spans="1:8" x14ac:dyDescent="0.3">
      <c r="A2970">
        <v>3</v>
      </c>
      <c r="B2970">
        <v>0</v>
      </c>
      <c r="C2970">
        <v>2</v>
      </c>
      <c r="D2970">
        <v>1</v>
      </c>
      <c r="E2970" t="s">
        <v>14</v>
      </c>
      <c r="F2970">
        <v>0</v>
      </c>
      <c r="G2970">
        <v>2</v>
      </c>
      <c r="H2970">
        <v>1</v>
      </c>
    </row>
    <row r="2971" spans="1:8" x14ac:dyDescent="0.3">
      <c r="A2971">
        <v>3</v>
      </c>
      <c r="B2971">
        <v>1</v>
      </c>
      <c r="C2971">
        <v>1</v>
      </c>
      <c r="D2971">
        <v>1</v>
      </c>
      <c r="E2971" t="s">
        <v>14</v>
      </c>
      <c r="F2971">
        <v>1</v>
      </c>
      <c r="G2971">
        <v>1</v>
      </c>
      <c r="H2971">
        <v>1</v>
      </c>
    </row>
    <row r="2972" spans="1:8" x14ac:dyDescent="0.3">
      <c r="A2972">
        <v>3</v>
      </c>
      <c r="B2972">
        <v>1</v>
      </c>
      <c r="C2972">
        <v>1</v>
      </c>
      <c r="D2972">
        <v>1</v>
      </c>
      <c r="E2972" t="s">
        <v>14</v>
      </c>
      <c r="F2972">
        <v>2</v>
      </c>
      <c r="G2972">
        <v>1</v>
      </c>
      <c r="H2972">
        <v>0</v>
      </c>
    </row>
    <row r="2973" spans="1:8" x14ac:dyDescent="0.3">
      <c r="A2973">
        <v>3</v>
      </c>
      <c r="B2973">
        <v>1</v>
      </c>
      <c r="C2973">
        <v>1</v>
      </c>
      <c r="D2973">
        <v>1</v>
      </c>
      <c r="E2973" t="s">
        <v>14</v>
      </c>
      <c r="F2973">
        <v>1</v>
      </c>
      <c r="G2973">
        <v>1</v>
      </c>
      <c r="H2973">
        <v>1</v>
      </c>
    </row>
    <row r="2974" spans="1:8" x14ac:dyDescent="0.3">
      <c r="A2974">
        <v>3</v>
      </c>
      <c r="B2974">
        <v>1</v>
      </c>
      <c r="C2974">
        <v>0</v>
      </c>
      <c r="D2974">
        <v>2</v>
      </c>
      <c r="E2974" t="s">
        <v>14</v>
      </c>
      <c r="F2974">
        <v>1</v>
      </c>
      <c r="G2974">
        <v>0</v>
      </c>
      <c r="H2974">
        <v>2</v>
      </c>
    </row>
    <row r="2975" spans="1:8" x14ac:dyDescent="0.3">
      <c r="A2975">
        <v>3</v>
      </c>
      <c r="B2975">
        <v>1</v>
      </c>
      <c r="C2975">
        <v>0</v>
      </c>
      <c r="D2975">
        <v>2</v>
      </c>
      <c r="E2975" t="s">
        <v>14</v>
      </c>
      <c r="F2975">
        <v>1</v>
      </c>
      <c r="G2975">
        <v>0</v>
      </c>
      <c r="H2975">
        <v>2</v>
      </c>
    </row>
    <row r="2976" spans="1:8" x14ac:dyDescent="0.3">
      <c r="A2976">
        <v>3</v>
      </c>
      <c r="B2976">
        <v>1</v>
      </c>
      <c r="C2976">
        <v>1</v>
      </c>
      <c r="D2976">
        <v>1</v>
      </c>
      <c r="E2976" t="s">
        <v>14</v>
      </c>
      <c r="F2976">
        <v>0</v>
      </c>
      <c r="G2976">
        <v>2</v>
      </c>
      <c r="H2976">
        <v>1</v>
      </c>
    </row>
    <row r="2977" spans="1:8" x14ac:dyDescent="0.3">
      <c r="A2977">
        <v>3</v>
      </c>
      <c r="B2977">
        <v>2</v>
      </c>
      <c r="C2977">
        <v>1</v>
      </c>
      <c r="D2977">
        <v>0</v>
      </c>
      <c r="E2977" t="s">
        <v>14</v>
      </c>
      <c r="F2977">
        <v>0</v>
      </c>
      <c r="G2977">
        <v>2</v>
      </c>
      <c r="H2977">
        <v>1</v>
      </c>
    </row>
    <row r="2978" spans="1:8" x14ac:dyDescent="0.3">
      <c r="A2978">
        <v>3</v>
      </c>
      <c r="B2978">
        <v>1</v>
      </c>
      <c r="C2978">
        <v>0</v>
      </c>
      <c r="D2978">
        <v>2</v>
      </c>
      <c r="E2978" t="s">
        <v>14</v>
      </c>
      <c r="F2978">
        <v>1</v>
      </c>
      <c r="G2978">
        <v>0</v>
      </c>
      <c r="H2978">
        <v>2</v>
      </c>
    </row>
    <row r="2979" spans="1:8" x14ac:dyDescent="0.3">
      <c r="A2979">
        <v>3</v>
      </c>
      <c r="B2979">
        <v>1</v>
      </c>
      <c r="C2979">
        <v>0</v>
      </c>
      <c r="D2979">
        <v>2</v>
      </c>
      <c r="E2979" t="s">
        <v>14</v>
      </c>
      <c r="F2979">
        <v>2</v>
      </c>
      <c r="G2979">
        <v>1</v>
      </c>
      <c r="H2979">
        <v>0</v>
      </c>
    </row>
    <row r="2980" spans="1:8" x14ac:dyDescent="0.3">
      <c r="A2980">
        <v>3</v>
      </c>
      <c r="B2980">
        <v>1</v>
      </c>
      <c r="C2980">
        <v>1</v>
      </c>
      <c r="D2980">
        <v>1</v>
      </c>
      <c r="E2980" t="s">
        <v>14</v>
      </c>
      <c r="F2980">
        <v>1</v>
      </c>
      <c r="G2980">
        <v>1</v>
      </c>
      <c r="H2980">
        <v>1</v>
      </c>
    </row>
    <row r="2981" spans="1:8" x14ac:dyDescent="0.3">
      <c r="A2981">
        <v>3</v>
      </c>
      <c r="B2981">
        <v>1</v>
      </c>
      <c r="C2981">
        <v>1</v>
      </c>
      <c r="D2981">
        <v>1</v>
      </c>
      <c r="E2981" t="s">
        <v>14</v>
      </c>
      <c r="F2981">
        <v>1</v>
      </c>
      <c r="G2981">
        <v>0</v>
      </c>
      <c r="H2981">
        <v>2</v>
      </c>
    </row>
    <row r="2982" spans="1:8" x14ac:dyDescent="0.3">
      <c r="A2982">
        <v>3</v>
      </c>
      <c r="B2982">
        <v>1</v>
      </c>
      <c r="C2982">
        <v>1</v>
      </c>
      <c r="D2982">
        <v>1</v>
      </c>
      <c r="E2982" t="s">
        <v>14</v>
      </c>
      <c r="F2982">
        <v>1</v>
      </c>
      <c r="G2982">
        <v>1</v>
      </c>
      <c r="H2982">
        <v>1</v>
      </c>
    </row>
    <row r="2983" spans="1:8" x14ac:dyDescent="0.3">
      <c r="A2983">
        <v>3</v>
      </c>
      <c r="B2983">
        <v>1</v>
      </c>
      <c r="C2983">
        <v>1</v>
      </c>
      <c r="D2983">
        <v>1</v>
      </c>
      <c r="E2983" t="s">
        <v>14</v>
      </c>
      <c r="F2983">
        <v>0</v>
      </c>
      <c r="G2983">
        <v>2</v>
      </c>
      <c r="H2983">
        <v>1</v>
      </c>
    </row>
    <row r="2984" spans="1:8" x14ac:dyDescent="0.3">
      <c r="A2984">
        <v>3</v>
      </c>
      <c r="B2984">
        <v>1</v>
      </c>
      <c r="C2984">
        <v>1</v>
      </c>
      <c r="D2984">
        <v>1</v>
      </c>
      <c r="E2984" t="s">
        <v>14</v>
      </c>
      <c r="F2984">
        <v>2</v>
      </c>
      <c r="G2984">
        <v>1</v>
      </c>
      <c r="H2984">
        <v>0</v>
      </c>
    </row>
    <row r="2985" spans="1:8" x14ac:dyDescent="0.3">
      <c r="A2985">
        <v>4</v>
      </c>
      <c r="B2985">
        <v>1</v>
      </c>
      <c r="C2985">
        <v>1</v>
      </c>
      <c r="D2985">
        <v>2</v>
      </c>
      <c r="E2985" t="s">
        <v>14</v>
      </c>
      <c r="F2985">
        <v>2</v>
      </c>
      <c r="G2985">
        <v>0</v>
      </c>
      <c r="H2985">
        <v>2</v>
      </c>
    </row>
    <row r="2986" spans="1:8" x14ac:dyDescent="0.3">
      <c r="A2986">
        <v>4</v>
      </c>
      <c r="B2986">
        <v>1</v>
      </c>
      <c r="C2986">
        <v>2</v>
      </c>
      <c r="D2986">
        <v>1</v>
      </c>
      <c r="E2986" t="s">
        <v>14</v>
      </c>
      <c r="F2986">
        <v>2</v>
      </c>
      <c r="G2986">
        <v>0</v>
      </c>
      <c r="H2986">
        <v>2</v>
      </c>
    </row>
    <row r="2987" spans="1:8" x14ac:dyDescent="0.3">
      <c r="A2987">
        <v>4</v>
      </c>
      <c r="B2987">
        <v>1</v>
      </c>
      <c r="C2987">
        <v>2</v>
      </c>
      <c r="D2987">
        <v>1</v>
      </c>
      <c r="E2987" t="s">
        <v>14</v>
      </c>
      <c r="F2987">
        <v>0</v>
      </c>
      <c r="G2987">
        <v>2</v>
      </c>
      <c r="H2987">
        <v>2</v>
      </c>
    </row>
    <row r="2988" spans="1:8" x14ac:dyDescent="0.3">
      <c r="A2988">
        <v>4</v>
      </c>
      <c r="B2988">
        <v>1</v>
      </c>
      <c r="C2988">
        <v>2</v>
      </c>
      <c r="D2988">
        <v>1</v>
      </c>
      <c r="E2988" t="s">
        <v>14</v>
      </c>
      <c r="F2988">
        <v>1</v>
      </c>
      <c r="G2988">
        <v>2</v>
      </c>
      <c r="H2988">
        <v>1</v>
      </c>
    </row>
    <row r="2989" spans="1:8" x14ac:dyDescent="0.3">
      <c r="A2989">
        <v>4</v>
      </c>
      <c r="B2989">
        <v>1</v>
      </c>
      <c r="C2989">
        <v>1</v>
      </c>
      <c r="D2989">
        <v>2</v>
      </c>
      <c r="E2989" t="s">
        <v>14</v>
      </c>
      <c r="F2989">
        <v>1</v>
      </c>
      <c r="G2989">
        <v>1</v>
      </c>
      <c r="H2989">
        <v>2</v>
      </c>
    </row>
    <row r="2990" spans="1:8" x14ac:dyDescent="0.3">
      <c r="A2990">
        <v>4</v>
      </c>
      <c r="B2990">
        <v>1</v>
      </c>
      <c r="C2990">
        <v>2</v>
      </c>
      <c r="D2990">
        <v>1</v>
      </c>
      <c r="E2990" t="s">
        <v>14</v>
      </c>
      <c r="F2990">
        <v>1</v>
      </c>
      <c r="G2990">
        <v>2</v>
      </c>
      <c r="H2990">
        <v>1</v>
      </c>
    </row>
    <row r="2991" spans="1:8" x14ac:dyDescent="0.3">
      <c r="A2991">
        <v>4</v>
      </c>
      <c r="B2991">
        <v>1</v>
      </c>
      <c r="C2991">
        <v>2</v>
      </c>
      <c r="D2991">
        <v>1</v>
      </c>
      <c r="E2991" t="s">
        <v>14</v>
      </c>
      <c r="F2991">
        <v>1</v>
      </c>
      <c r="G2991">
        <v>2</v>
      </c>
      <c r="H2991">
        <v>1</v>
      </c>
    </row>
    <row r="2992" spans="1:8" x14ac:dyDescent="0.3">
      <c r="A2992">
        <v>4</v>
      </c>
      <c r="B2992">
        <v>1</v>
      </c>
      <c r="C2992">
        <v>2</v>
      </c>
      <c r="D2992">
        <v>1</v>
      </c>
      <c r="E2992" t="s">
        <v>14</v>
      </c>
      <c r="F2992">
        <v>2</v>
      </c>
      <c r="G2992">
        <v>2</v>
      </c>
      <c r="H2992">
        <v>0</v>
      </c>
    </row>
    <row r="2993" spans="1:8" x14ac:dyDescent="0.3">
      <c r="A2993">
        <v>4</v>
      </c>
      <c r="B2993">
        <v>1</v>
      </c>
      <c r="C2993">
        <v>1</v>
      </c>
      <c r="D2993">
        <v>2</v>
      </c>
      <c r="E2993" t="s">
        <v>14</v>
      </c>
      <c r="F2993">
        <v>0</v>
      </c>
      <c r="G2993">
        <v>2</v>
      </c>
      <c r="H2993">
        <v>2</v>
      </c>
    </row>
    <row r="2994" spans="1:8" x14ac:dyDescent="0.3">
      <c r="A2994">
        <v>5</v>
      </c>
      <c r="B2994">
        <v>2</v>
      </c>
      <c r="C2994">
        <v>2</v>
      </c>
      <c r="D2994">
        <v>1</v>
      </c>
      <c r="E2994" t="s">
        <v>14</v>
      </c>
      <c r="F2994">
        <v>2</v>
      </c>
      <c r="G2994">
        <v>2</v>
      </c>
      <c r="H2994">
        <v>1</v>
      </c>
    </row>
    <row r="2995" spans="1:8" x14ac:dyDescent="0.3">
      <c r="A2995">
        <v>5</v>
      </c>
      <c r="B2995">
        <v>2</v>
      </c>
      <c r="C2995">
        <v>1</v>
      </c>
      <c r="D2995">
        <v>2</v>
      </c>
      <c r="E2995" t="s">
        <v>14</v>
      </c>
      <c r="F2995">
        <v>2</v>
      </c>
      <c r="G2995">
        <v>1</v>
      </c>
      <c r="H2995">
        <v>2</v>
      </c>
    </row>
    <row r="2996" spans="1:8" x14ac:dyDescent="0.3">
      <c r="A2996">
        <v>5</v>
      </c>
      <c r="B2996">
        <v>2</v>
      </c>
      <c r="C2996">
        <v>2</v>
      </c>
      <c r="D2996">
        <v>1</v>
      </c>
      <c r="E2996" t="s">
        <v>14</v>
      </c>
      <c r="F2996">
        <v>2</v>
      </c>
      <c r="G2996">
        <v>2</v>
      </c>
      <c r="H2996">
        <v>1</v>
      </c>
    </row>
    <row r="2997" spans="1:8" x14ac:dyDescent="0.3">
      <c r="A2997">
        <v>5</v>
      </c>
      <c r="B2997">
        <v>2</v>
      </c>
      <c r="C2997">
        <v>2</v>
      </c>
      <c r="D2997">
        <v>1</v>
      </c>
      <c r="E2997" t="s">
        <v>14</v>
      </c>
      <c r="F2997">
        <v>2</v>
      </c>
      <c r="G2997">
        <v>3</v>
      </c>
      <c r="H2997">
        <v>0</v>
      </c>
    </row>
    <row r="2998" spans="1:8" x14ac:dyDescent="0.3">
      <c r="A2998">
        <v>6</v>
      </c>
      <c r="B2998">
        <v>2</v>
      </c>
      <c r="C2998">
        <v>3</v>
      </c>
      <c r="D2998">
        <v>1</v>
      </c>
      <c r="E2998" t="s">
        <v>14</v>
      </c>
      <c r="F2998">
        <v>2</v>
      </c>
      <c r="G2998">
        <v>3</v>
      </c>
      <c r="H2998">
        <v>1</v>
      </c>
    </row>
    <row r="2999" spans="1:8" x14ac:dyDescent="0.3">
      <c r="A2999">
        <v>6</v>
      </c>
      <c r="B2999">
        <v>2</v>
      </c>
      <c r="C2999">
        <v>3</v>
      </c>
      <c r="D2999">
        <v>1</v>
      </c>
      <c r="E2999" t="s">
        <v>14</v>
      </c>
      <c r="F2999">
        <v>2</v>
      </c>
      <c r="G2999">
        <v>3</v>
      </c>
      <c r="H2999">
        <v>1</v>
      </c>
    </row>
    <row r="3000" spans="1:8" x14ac:dyDescent="0.3">
      <c r="A3000">
        <v>6</v>
      </c>
      <c r="B3000">
        <v>3</v>
      </c>
      <c r="C3000">
        <v>1</v>
      </c>
      <c r="D3000">
        <v>2</v>
      </c>
      <c r="E3000" t="s">
        <v>14</v>
      </c>
      <c r="F3000">
        <v>3</v>
      </c>
      <c r="G3000">
        <v>1</v>
      </c>
      <c r="H3000">
        <v>2</v>
      </c>
    </row>
    <row r="3001" spans="1:8" x14ac:dyDescent="0.3">
      <c r="A3001">
        <v>6</v>
      </c>
      <c r="B3001">
        <v>3</v>
      </c>
      <c r="C3001">
        <v>1</v>
      </c>
      <c r="D3001">
        <v>2</v>
      </c>
      <c r="E3001" t="s">
        <v>14</v>
      </c>
      <c r="F3001">
        <v>3</v>
      </c>
      <c r="G3001">
        <v>1</v>
      </c>
      <c r="H3001">
        <v>2</v>
      </c>
    </row>
    <row r="3002" spans="1:8" x14ac:dyDescent="0.3">
      <c r="A3002">
        <v>6</v>
      </c>
      <c r="B3002">
        <v>3</v>
      </c>
      <c r="C3002">
        <v>1</v>
      </c>
      <c r="D3002">
        <v>2</v>
      </c>
      <c r="E3002" t="s">
        <v>14</v>
      </c>
      <c r="F3002">
        <v>3</v>
      </c>
      <c r="G3002">
        <v>1</v>
      </c>
      <c r="H3002">
        <v>2</v>
      </c>
    </row>
    <row r="3003" spans="1:8" x14ac:dyDescent="0.3">
      <c r="A3003">
        <v>6</v>
      </c>
      <c r="B3003">
        <v>1</v>
      </c>
      <c r="C3003">
        <v>2</v>
      </c>
      <c r="D3003">
        <v>3</v>
      </c>
      <c r="E3003" t="s">
        <v>14</v>
      </c>
      <c r="F3003">
        <v>1</v>
      </c>
      <c r="G3003">
        <v>2</v>
      </c>
      <c r="H3003">
        <v>3</v>
      </c>
    </row>
    <row r="3004" spans="1:8" x14ac:dyDescent="0.3">
      <c r="A3004">
        <v>7</v>
      </c>
      <c r="B3004">
        <v>3</v>
      </c>
      <c r="C3004">
        <v>2</v>
      </c>
      <c r="D3004">
        <v>2</v>
      </c>
      <c r="E3004" t="s">
        <v>14</v>
      </c>
      <c r="F3004">
        <v>3</v>
      </c>
      <c r="G3004">
        <v>2</v>
      </c>
      <c r="H3004">
        <v>2</v>
      </c>
    </row>
    <row r="3005" spans="1:8" x14ac:dyDescent="0.3">
      <c r="A3005">
        <v>7</v>
      </c>
      <c r="B3005">
        <v>2</v>
      </c>
      <c r="C3005">
        <v>2</v>
      </c>
      <c r="D3005">
        <v>3</v>
      </c>
      <c r="E3005" t="s">
        <v>14</v>
      </c>
      <c r="F3005">
        <v>2</v>
      </c>
      <c r="G3005">
        <v>2</v>
      </c>
      <c r="H3005">
        <v>3</v>
      </c>
    </row>
    <row r="3006" spans="1:8" x14ac:dyDescent="0.3">
      <c r="A3006">
        <v>7</v>
      </c>
      <c r="B3006">
        <v>3</v>
      </c>
      <c r="C3006">
        <v>2</v>
      </c>
      <c r="D3006">
        <v>2</v>
      </c>
      <c r="E3006" t="s">
        <v>14</v>
      </c>
      <c r="F3006">
        <v>3</v>
      </c>
      <c r="G3006">
        <v>2</v>
      </c>
      <c r="H3006">
        <v>2</v>
      </c>
    </row>
    <row r="3007" spans="1:8" x14ac:dyDescent="0.3">
      <c r="A3007">
        <v>7</v>
      </c>
      <c r="B3007">
        <v>3</v>
      </c>
      <c r="C3007">
        <v>2</v>
      </c>
      <c r="D3007">
        <v>2</v>
      </c>
      <c r="E3007" t="s">
        <v>14</v>
      </c>
      <c r="F3007">
        <v>3</v>
      </c>
      <c r="G3007">
        <v>2</v>
      </c>
      <c r="H3007">
        <v>2</v>
      </c>
    </row>
    <row r="3008" spans="1:8" x14ac:dyDescent="0.3">
      <c r="A3008">
        <v>7</v>
      </c>
      <c r="B3008">
        <v>3</v>
      </c>
      <c r="C3008">
        <v>2</v>
      </c>
      <c r="D3008">
        <v>2</v>
      </c>
      <c r="E3008" t="s">
        <v>14</v>
      </c>
      <c r="F3008">
        <v>3</v>
      </c>
      <c r="G3008">
        <v>2</v>
      </c>
      <c r="H3008">
        <v>2</v>
      </c>
    </row>
    <row r="3009" spans="1:8" x14ac:dyDescent="0.3">
      <c r="A3009">
        <v>7</v>
      </c>
      <c r="B3009">
        <v>2</v>
      </c>
      <c r="C3009">
        <v>2</v>
      </c>
      <c r="D3009">
        <v>3</v>
      </c>
      <c r="E3009" t="s">
        <v>14</v>
      </c>
      <c r="F3009">
        <v>2</v>
      </c>
      <c r="G3009">
        <v>2</v>
      </c>
      <c r="H3009">
        <v>3</v>
      </c>
    </row>
    <row r="3010" spans="1:8" x14ac:dyDescent="0.3">
      <c r="A3010">
        <v>8</v>
      </c>
      <c r="B3010">
        <v>3</v>
      </c>
      <c r="C3010">
        <v>2</v>
      </c>
      <c r="D3010">
        <v>3</v>
      </c>
      <c r="E3010" t="s">
        <v>14</v>
      </c>
      <c r="F3010">
        <v>3</v>
      </c>
      <c r="G3010">
        <v>2</v>
      </c>
      <c r="H3010">
        <v>3</v>
      </c>
    </row>
    <row r="3011" spans="1:8" x14ac:dyDescent="0.3">
      <c r="A3011">
        <v>2</v>
      </c>
      <c r="B3011">
        <v>1</v>
      </c>
      <c r="C3011">
        <v>1</v>
      </c>
      <c r="D3011">
        <v>0</v>
      </c>
      <c r="E3011" t="s">
        <v>14</v>
      </c>
      <c r="F3011">
        <v>0</v>
      </c>
      <c r="G3011">
        <v>0</v>
      </c>
      <c r="H3011">
        <v>2</v>
      </c>
    </row>
    <row r="3012" spans="1:8" x14ac:dyDescent="0.3">
      <c r="A3012">
        <v>2</v>
      </c>
      <c r="B3012">
        <v>1</v>
      </c>
      <c r="C3012">
        <v>0</v>
      </c>
      <c r="D3012">
        <v>1</v>
      </c>
      <c r="E3012" t="s">
        <v>14</v>
      </c>
      <c r="F3012">
        <v>1</v>
      </c>
      <c r="G3012">
        <v>0</v>
      </c>
      <c r="H3012">
        <v>1</v>
      </c>
    </row>
    <row r="3013" spans="1:8" x14ac:dyDescent="0.3">
      <c r="A3013">
        <v>2</v>
      </c>
      <c r="B3013">
        <v>1</v>
      </c>
      <c r="C3013">
        <v>0</v>
      </c>
      <c r="D3013">
        <v>1</v>
      </c>
      <c r="E3013" t="s">
        <v>14</v>
      </c>
      <c r="F3013">
        <v>1</v>
      </c>
      <c r="G3013">
        <v>0</v>
      </c>
      <c r="H3013">
        <v>1</v>
      </c>
    </row>
    <row r="3014" spans="1:8" x14ac:dyDescent="0.3">
      <c r="A3014">
        <v>2</v>
      </c>
      <c r="B3014">
        <v>1</v>
      </c>
      <c r="C3014">
        <v>1</v>
      </c>
      <c r="D3014">
        <v>0</v>
      </c>
      <c r="E3014" t="s">
        <v>14</v>
      </c>
      <c r="F3014">
        <v>0</v>
      </c>
      <c r="G3014">
        <v>2</v>
      </c>
      <c r="H3014">
        <v>0</v>
      </c>
    </row>
    <row r="3015" spans="1:8" x14ac:dyDescent="0.3">
      <c r="A3015">
        <v>2</v>
      </c>
      <c r="B3015">
        <v>0</v>
      </c>
      <c r="C3015">
        <v>1</v>
      </c>
      <c r="D3015">
        <v>1</v>
      </c>
      <c r="E3015" t="s">
        <v>14</v>
      </c>
      <c r="F3015">
        <v>0</v>
      </c>
      <c r="G3015">
        <v>0</v>
      </c>
      <c r="H3015">
        <v>2</v>
      </c>
    </row>
    <row r="3016" spans="1:8" x14ac:dyDescent="0.3">
      <c r="A3016">
        <v>3</v>
      </c>
      <c r="B3016">
        <v>1</v>
      </c>
      <c r="C3016">
        <v>1</v>
      </c>
      <c r="D3016">
        <v>1</v>
      </c>
      <c r="E3016" t="s">
        <v>14</v>
      </c>
      <c r="F3016">
        <v>0</v>
      </c>
      <c r="G3016">
        <v>2</v>
      </c>
      <c r="H3016">
        <v>1</v>
      </c>
    </row>
    <row r="3017" spans="1:8" x14ac:dyDescent="0.3">
      <c r="A3017">
        <v>3</v>
      </c>
      <c r="B3017">
        <v>1</v>
      </c>
      <c r="C3017">
        <v>1</v>
      </c>
      <c r="D3017">
        <v>1</v>
      </c>
      <c r="E3017" t="s">
        <v>14</v>
      </c>
      <c r="F3017">
        <v>0</v>
      </c>
      <c r="G3017">
        <v>2</v>
      </c>
      <c r="H3017">
        <v>1</v>
      </c>
    </row>
    <row r="3018" spans="1:8" x14ac:dyDescent="0.3">
      <c r="A3018">
        <v>3</v>
      </c>
      <c r="B3018">
        <v>1</v>
      </c>
      <c r="C3018">
        <v>1</v>
      </c>
      <c r="D3018">
        <v>1</v>
      </c>
      <c r="E3018" t="s">
        <v>14</v>
      </c>
      <c r="F3018">
        <v>0</v>
      </c>
      <c r="G3018">
        <v>2</v>
      </c>
      <c r="H3018">
        <v>1</v>
      </c>
    </row>
    <row r="3019" spans="1:8" x14ac:dyDescent="0.3">
      <c r="A3019">
        <v>3</v>
      </c>
      <c r="B3019">
        <v>2</v>
      </c>
      <c r="C3019">
        <v>1</v>
      </c>
      <c r="D3019">
        <v>0</v>
      </c>
      <c r="E3019" t="s">
        <v>14</v>
      </c>
      <c r="F3019">
        <v>2</v>
      </c>
      <c r="G3019">
        <v>1</v>
      </c>
      <c r="H3019">
        <v>0</v>
      </c>
    </row>
    <row r="3020" spans="1:8" x14ac:dyDescent="0.3">
      <c r="A3020">
        <v>3</v>
      </c>
      <c r="B3020">
        <v>1</v>
      </c>
      <c r="C3020">
        <v>1</v>
      </c>
      <c r="D3020">
        <v>1</v>
      </c>
      <c r="E3020" t="s">
        <v>14</v>
      </c>
      <c r="F3020">
        <v>0</v>
      </c>
      <c r="G3020">
        <v>2</v>
      </c>
      <c r="H3020">
        <v>1</v>
      </c>
    </row>
    <row r="3021" spans="1:8" x14ac:dyDescent="0.3">
      <c r="A3021">
        <v>3</v>
      </c>
      <c r="B3021">
        <v>1</v>
      </c>
      <c r="C3021">
        <v>0</v>
      </c>
      <c r="D3021">
        <v>2</v>
      </c>
      <c r="E3021" t="s">
        <v>14</v>
      </c>
      <c r="F3021">
        <v>1</v>
      </c>
      <c r="G3021">
        <v>0</v>
      </c>
      <c r="H3021">
        <v>2</v>
      </c>
    </row>
    <row r="3022" spans="1:8" x14ac:dyDescent="0.3">
      <c r="A3022">
        <v>3</v>
      </c>
      <c r="B3022">
        <v>1</v>
      </c>
      <c r="C3022">
        <v>1</v>
      </c>
      <c r="D3022">
        <v>1</v>
      </c>
      <c r="E3022" t="s">
        <v>14</v>
      </c>
      <c r="F3022">
        <v>1</v>
      </c>
      <c r="G3022">
        <v>0</v>
      </c>
      <c r="H3022">
        <v>2</v>
      </c>
    </row>
    <row r="3023" spans="1:8" x14ac:dyDescent="0.3">
      <c r="A3023">
        <v>3</v>
      </c>
      <c r="B3023">
        <v>1</v>
      </c>
      <c r="C3023">
        <v>1</v>
      </c>
      <c r="D3023">
        <v>1</v>
      </c>
      <c r="E3023" t="s">
        <v>14</v>
      </c>
      <c r="F3023">
        <v>1</v>
      </c>
      <c r="G3023">
        <v>0</v>
      </c>
      <c r="H3023">
        <v>2</v>
      </c>
    </row>
    <row r="3024" spans="1:8" x14ac:dyDescent="0.3">
      <c r="A3024">
        <v>3</v>
      </c>
      <c r="B3024">
        <v>2</v>
      </c>
      <c r="C3024">
        <v>1</v>
      </c>
      <c r="D3024">
        <v>0</v>
      </c>
      <c r="E3024" t="s">
        <v>14</v>
      </c>
      <c r="F3024">
        <v>0</v>
      </c>
      <c r="G3024">
        <v>2</v>
      </c>
      <c r="H3024">
        <v>1</v>
      </c>
    </row>
    <row r="3025" spans="1:8" x14ac:dyDescent="0.3">
      <c r="A3025">
        <v>3</v>
      </c>
      <c r="B3025">
        <v>1</v>
      </c>
      <c r="C3025">
        <v>1</v>
      </c>
      <c r="D3025">
        <v>1</v>
      </c>
      <c r="E3025" t="s">
        <v>14</v>
      </c>
      <c r="F3025">
        <v>1</v>
      </c>
      <c r="G3025">
        <v>1</v>
      </c>
      <c r="H3025">
        <v>1</v>
      </c>
    </row>
    <row r="3026" spans="1:8" x14ac:dyDescent="0.3">
      <c r="A3026">
        <v>3</v>
      </c>
      <c r="B3026">
        <v>1</v>
      </c>
      <c r="C3026">
        <v>1</v>
      </c>
      <c r="D3026">
        <v>1</v>
      </c>
      <c r="E3026" t="s">
        <v>14</v>
      </c>
      <c r="F3026">
        <v>1</v>
      </c>
      <c r="G3026">
        <v>0</v>
      </c>
      <c r="H3026">
        <v>2</v>
      </c>
    </row>
    <row r="3027" spans="1:8" x14ac:dyDescent="0.3">
      <c r="A3027">
        <v>3</v>
      </c>
      <c r="B3027">
        <v>1</v>
      </c>
      <c r="C3027">
        <v>1</v>
      </c>
      <c r="D3027">
        <v>1</v>
      </c>
      <c r="E3027" t="s">
        <v>14</v>
      </c>
      <c r="F3027">
        <v>1</v>
      </c>
      <c r="G3027">
        <v>1</v>
      </c>
      <c r="H3027">
        <v>1</v>
      </c>
    </row>
    <row r="3028" spans="1:8" x14ac:dyDescent="0.3">
      <c r="A3028">
        <v>3</v>
      </c>
      <c r="B3028">
        <v>1</v>
      </c>
      <c r="C3028">
        <v>1</v>
      </c>
      <c r="D3028">
        <v>1</v>
      </c>
      <c r="E3028" t="s">
        <v>14</v>
      </c>
      <c r="F3028">
        <v>1</v>
      </c>
      <c r="G3028">
        <v>1</v>
      </c>
      <c r="H3028">
        <v>1</v>
      </c>
    </row>
    <row r="3029" spans="1:8" x14ac:dyDescent="0.3">
      <c r="A3029">
        <v>3</v>
      </c>
      <c r="B3029">
        <v>1</v>
      </c>
      <c r="C3029">
        <v>1</v>
      </c>
      <c r="D3029">
        <v>1</v>
      </c>
      <c r="E3029" t="s">
        <v>14</v>
      </c>
      <c r="F3029">
        <v>1</v>
      </c>
      <c r="G3029">
        <v>0</v>
      </c>
      <c r="H3029">
        <v>2</v>
      </c>
    </row>
    <row r="3030" spans="1:8" x14ac:dyDescent="0.3">
      <c r="A3030">
        <v>3</v>
      </c>
      <c r="B3030">
        <v>2</v>
      </c>
      <c r="C3030">
        <v>1</v>
      </c>
      <c r="D3030">
        <v>0</v>
      </c>
      <c r="E3030" t="s">
        <v>14</v>
      </c>
      <c r="F3030">
        <v>2</v>
      </c>
      <c r="G3030">
        <v>1</v>
      </c>
      <c r="H3030">
        <v>0</v>
      </c>
    </row>
    <row r="3031" spans="1:8" x14ac:dyDescent="0.3">
      <c r="A3031">
        <v>3</v>
      </c>
      <c r="B3031">
        <v>1</v>
      </c>
      <c r="C3031">
        <v>1</v>
      </c>
      <c r="D3031">
        <v>1</v>
      </c>
      <c r="E3031" t="s">
        <v>14</v>
      </c>
      <c r="F3031">
        <v>0</v>
      </c>
      <c r="G3031">
        <v>2</v>
      </c>
      <c r="H3031">
        <v>1</v>
      </c>
    </row>
    <row r="3032" spans="1:8" x14ac:dyDescent="0.3">
      <c r="A3032">
        <v>3</v>
      </c>
      <c r="B3032">
        <v>1</v>
      </c>
      <c r="C3032">
        <v>1</v>
      </c>
      <c r="D3032">
        <v>1</v>
      </c>
      <c r="E3032" t="s">
        <v>14</v>
      </c>
      <c r="F3032">
        <v>1</v>
      </c>
      <c r="G3032">
        <v>1</v>
      </c>
      <c r="H3032">
        <v>1</v>
      </c>
    </row>
    <row r="3033" spans="1:8" x14ac:dyDescent="0.3">
      <c r="A3033">
        <v>3</v>
      </c>
      <c r="B3033">
        <v>1</v>
      </c>
      <c r="C3033">
        <v>1</v>
      </c>
      <c r="D3033">
        <v>1</v>
      </c>
      <c r="E3033" t="s">
        <v>14</v>
      </c>
      <c r="F3033">
        <v>1</v>
      </c>
      <c r="G3033">
        <v>1</v>
      </c>
      <c r="H3033">
        <v>1</v>
      </c>
    </row>
    <row r="3034" spans="1:8" x14ac:dyDescent="0.3">
      <c r="A3034">
        <v>3</v>
      </c>
      <c r="B3034">
        <v>2</v>
      </c>
      <c r="C3034">
        <v>1</v>
      </c>
      <c r="D3034">
        <v>0</v>
      </c>
      <c r="E3034" t="s">
        <v>14</v>
      </c>
      <c r="F3034">
        <v>2</v>
      </c>
      <c r="G3034">
        <v>1</v>
      </c>
      <c r="H3034">
        <v>0</v>
      </c>
    </row>
    <row r="3035" spans="1:8" x14ac:dyDescent="0.3">
      <c r="A3035">
        <v>3</v>
      </c>
      <c r="B3035">
        <v>2</v>
      </c>
      <c r="C3035">
        <v>1</v>
      </c>
      <c r="D3035">
        <v>0</v>
      </c>
      <c r="E3035" t="s">
        <v>14</v>
      </c>
      <c r="F3035">
        <v>2</v>
      </c>
      <c r="G3035">
        <v>1</v>
      </c>
      <c r="H3035">
        <v>0</v>
      </c>
    </row>
    <row r="3036" spans="1:8" x14ac:dyDescent="0.3">
      <c r="A3036">
        <v>3</v>
      </c>
      <c r="B3036">
        <v>0</v>
      </c>
      <c r="C3036">
        <v>2</v>
      </c>
      <c r="D3036">
        <v>1</v>
      </c>
      <c r="E3036" t="s">
        <v>14</v>
      </c>
      <c r="F3036">
        <v>0</v>
      </c>
      <c r="G3036">
        <v>2</v>
      </c>
      <c r="H3036">
        <v>1</v>
      </c>
    </row>
    <row r="3037" spans="1:8" x14ac:dyDescent="0.3">
      <c r="A3037">
        <v>3</v>
      </c>
      <c r="B3037">
        <v>2</v>
      </c>
      <c r="C3037">
        <v>1</v>
      </c>
      <c r="D3037">
        <v>0</v>
      </c>
      <c r="E3037" t="s">
        <v>14</v>
      </c>
      <c r="F3037">
        <v>0</v>
      </c>
      <c r="G3037">
        <v>2</v>
      </c>
      <c r="H3037">
        <v>1</v>
      </c>
    </row>
    <row r="3038" spans="1:8" x14ac:dyDescent="0.3">
      <c r="A3038">
        <v>3</v>
      </c>
      <c r="B3038">
        <v>0</v>
      </c>
      <c r="C3038">
        <v>2</v>
      </c>
      <c r="D3038">
        <v>1</v>
      </c>
      <c r="E3038" t="s">
        <v>14</v>
      </c>
      <c r="F3038">
        <v>0</v>
      </c>
      <c r="G3038">
        <v>2</v>
      </c>
      <c r="H3038">
        <v>1</v>
      </c>
    </row>
    <row r="3039" spans="1:8" x14ac:dyDescent="0.3">
      <c r="A3039">
        <v>3</v>
      </c>
      <c r="B3039">
        <v>1</v>
      </c>
      <c r="C3039">
        <v>1</v>
      </c>
      <c r="D3039">
        <v>1</v>
      </c>
      <c r="E3039" t="s">
        <v>14</v>
      </c>
      <c r="F3039">
        <v>1</v>
      </c>
      <c r="G3039">
        <v>1</v>
      </c>
      <c r="H3039">
        <v>1</v>
      </c>
    </row>
    <row r="3040" spans="1:8" x14ac:dyDescent="0.3">
      <c r="A3040">
        <v>3</v>
      </c>
      <c r="B3040">
        <v>1</v>
      </c>
      <c r="C3040">
        <v>1</v>
      </c>
      <c r="D3040">
        <v>1</v>
      </c>
      <c r="E3040" t="s">
        <v>14</v>
      </c>
      <c r="F3040">
        <v>1</v>
      </c>
      <c r="G3040">
        <v>1</v>
      </c>
      <c r="H3040">
        <v>1</v>
      </c>
    </row>
    <row r="3041" spans="1:8" x14ac:dyDescent="0.3">
      <c r="A3041">
        <v>3</v>
      </c>
      <c r="B3041">
        <v>1</v>
      </c>
      <c r="C3041">
        <v>1</v>
      </c>
      <c r="D3041">
        <v>1</v>
      </c>
      <c r="E3041" t="s">
        <v>14</v>
      </c>
      <c r="F3041">
        <v>0</v>
      </c>
      <c r="G3041">
        <v>2</v>
      </c>
      <c r="H3041">
        <v>1</v>
      </c>
    </row>
    <row r="3042" spans="1:8" x14ac:dyDescent="0.3">
      <c r="A3042">
        <v>3</v>
      </c>
      <c r="B3042">
        <v>1</v>
      </c>
      <c r="C3042">
        <v>1</v>
      </c>
      <c r="D3042">
        <v>1</v>
      </c>
      <c r="E3042" t="s">
        <v>14</v>
      </c>
      <c r="F3042">
        <v>2</v>
      </c>
      <c r="G3042">
        <v>1</v>
      </c>
      <c r="H3042">
        <v>0</v>
      </c>
    </row>
    <row r="3043" spans="1:8" x14ac:dyDescent="0.3">
      <c r="A3043">
        <v>3</v>
      </c>
      <c r="B3043">
        <v>1</v>
      </c>
      <c r="C3043">
        <v>1</v>
      </c>
      <c r="D3043">
        <v>1</v>
      </c>
      <c r="E3043" t="s">
        <v>14</v>
      </c>
      <c r="F3043">
        <v>1</v>
      </c>
      <c r="G3043">
        <v>1</v>
      </c>
      <c r="H3043">
        <v>1</v>
      </c>
    </row>
    <row r="3044" spans="1:8" x14ac:dyDescent="0.3">
      <c r="A3044">
        <v>3</v>
      </c>
      <c r="B3044">
        <v>1</v>
      </c>
      <c r="C3044">
        <v>1</v>
      </c>
      <c r="D3044">
        <v>1</v>
      </c>
      <c r="E3044" t="s">
        <v>14</v>
      </c>
      <c r="F3044">
        <v>2</v>
      </c>
      <c r="G3044">
        <v>1</v>
      </c>
      <c r="H3044">
        <v>0</v>
      </c>
    </row>
    <row r="3045" spans="1:8" x14ac:dyDescent="0.3">
      <c r="A3045">
        <v>3</v>
      </c>
      <c r="B3045">
        <v>1</v>
      </c>
      <c r="C3045">
        <v>1</v>
      </c>
      <c r="D3045">
        <v>1</v>
      </c>
      <c r="E3045" t="s">
        <v>14</v>
      </c>
      <c r="F3045">
        <v>1</v>
      </c>
      <c r="G3045">
        <v>1</v>
      </c>
      <c r="H3045">
        <v>1</v>
      </c>
    </row>
    <row r="3046" spans="1:8" x14ac:dyDescent="0.3">
      <c r="A3046">
        <v>3</v>
      </c>
      <c r="B3046">
        <v>1</v>
      </c>
      <c r="C3046">
        <v>1</v>
      </c>
      <c r="D3046">
        <v>1</v>
      </c>
      <c r="E3046" t="s">
        <v>14</v>
      </c>
      <c r="F3046">
        <v>2</v>
      </c>
      <c r="G3046">
        <v>1</v>
      </c>
      <c r="H3046">
        <v>0</v>
      </c>
    </row>
    <row r="3047" spans="1:8" x14ac:dyDescent="0.3">
      <c r="A3047">
        <v>3</v>
      </c>
      <c r="B3047">
        <v>1</v>
      </c>
      <c r="C3047">
        <v>1</v>
      </c>
      <c r="D3047">
        <v>1</v>
      </c>
      <c r="E3047" t="s">
        <v>14</v>
      </c>
      <c r="F3047">
        <v>2</v>
      </c>
      <c r="G3047">
        <v>1</v>
      </c>
      <c r="H3047">
        <v>0</v>
      </c>
    </row>
    <row r="3048" spans="1:8" x14ac:dyDescent="0.3">
      <c r="A3048">
        <v>3</v>
      </c>
      <c r="B3048">
        <v>1</v>
      </c>
      <c r="C3048">
        <v>1</v>
      </c>
      <c r="D3048">
        <v>1</v>
      </c>
      <c r="E3048" t="s">
        <v>14</v>
      </c>
      <c r="F3048">
        <v>1</v>
      </c>
      <c r="G3048">
        <v>1</v>
      </c>
      <c r="H3048">
        <v>1</v>
      </c>
    </row>
    <row r="3049" spans="1:8" x14ac:dyDescent="0.3">
      <c r="A3049">
        <v>3</v>
      </c>
      <c r="B3049">
        <v>1</v>
      </c>
      <c r="C3049">
        <v>1</v>
      </c>
      <c r="D3049">
        <v>1</v>
      </c>
      <c r="E3049" t="s">
        <v>14</v>
      </c>
      <c r="F3049">
        <v>1</v>
      </c>
      <c r="G3049">
        <v>1</v>
      </c>
      <c r="H3049">
        <v>1</v>
      </c>
    </row>
    <row r="3050" spans="1:8" x14ac:dyDescent="0.3">
      <c r="A3050">
        <v>3</v>
      </c>
      <c r="B3050">
        <v>1</v>
      </c>
      <c r="C3050">
        <v>1</v>
      </c>
      <c r="D3050">
        <v>1</v>
      </c>
      <c r="E3050" t="s">
        <v>14</v>
      </c>
      <c r="F3050">
        <v>2</v>
      </c>
      <c r="G3050">
        <v>1</v>
      </c>
      <c r="H3050">
        <v>0</v>
      </c>
    </row>
    <row r="3051" spans="1:8" x14ac:dyDescent="0.3">
      <c r="A3051">
        <v>3</v>
      </c>
      <c r="B3051">
        <v>1</v>
      </c>
      <c r="C3051">
        <v>1</v>
      </c>
      <c r="D3051">
        <v>1</v>
      </c>
      <c r="E3051" t="s">
        <v>14</v>
      </c>
      <c r="F3051">
        <v>1</v>
      </c>
      <c r="G3051">
        <v>1</v>
      </c>
      <c r="H3051">
        <v>1</v>
      </c>
    </row>
    <row r="3052" spans="1:8" x14ac:dyDescent="0.3">
      <c r="A3052">
        <v>3</v>
      </c>
      <c r="B3052">
        <v>1</v>
      </c>
      <c r="C3052">
        <v>1</v>
      </c>
      <c r="D3052">
        <v>1</v>
      </c>
      <c r="E3052" t="s">
        <v>14</v>
      </c>
      <c r="F3052">
        <v>1</v>
      </c>
      <c r="G3052">
        <v>1</v>
      </c>
      <c r="H3052">
        <v>1</v>
      </c>
    </row>
    <row r="3053" spans="1:8" x14ac:dyDescent="0.3">
      <c r="A3053">
        <v>3</v>
      </c>
      <c r="B3053">
        <v>1</v>
      </c>
      <c r="C3053">
        <v>1</v>
      </c>
      <c r="D3053">
        <v>1</v>
      </c>
      <c r="E3053" t="s">
        <v>14</v>
      </c>
      <c r="F3053">
        <v>1</v>
      </c>
      <c r="G3053">
        <v>1</v>
      </c>
      <c r="H3053">
        <v>1</v>
      </c>
    </row>
    <row r="3054" spans="1:8" x14ac:dyDescent="0.3">
      <c r="A3054">
        <v>3</v>
      </c>
      <c r="B3054">
        <v>1</v>
      </c>
      <c r="C3054">
        <v>1</v>
      </c>
      <c r="D3054">
        <v>1</v>
      </c>
      <c r="E3054" t="s">
        <v>14</v>
      </c>
      <c r="F3054">
        <v>1</v>
      </c>
      <c r="G3054">
        <v>1</v>
      </c>
      <c r="H3054">
        <v>1</v>
      </c>
    </row>
    <row r="3055" spans="1:8" x14ac:dyDescent="0.3">
      <c r="A3055">
        <v>3</v>
      </c>
      <c r="B3055">
        <v>1</v>
      </c>
      <c r="C3055">
        <v>1</v>
      </c>
      <c r="D3055">
        <v>1</v>
      </c>
      <c r="E3055" t="s">
        <v>14</v>
      </c>
      <c r="F3055">
        <v>1</v>
      </c>
      <c r="G3055">
        <v>0</v>
      </c>
      <c r="H3055">
        <v>2</v>
      </c>
    </row>
    <row r="3056" spans="1:8" x14ac:dyDescent="0.3">
      <c r="A3056">
        <v>3</v>
      </c>
      <c r="B3056">
        <v>1</v>
      </c>
      <c r="C3056">
        <v>1</v>
      </c>
      <c r="D3056">
        <v>1</v>
      </c>
      <c r="E3056" t="s">
        <v>14</v>
      </c>
      <c r="F3056">
        <v>0</v>
      </c>
      <c r="G3056">
        <v>2</v>
      </c>
      <c r="H3056">
        <v>1</v>
      </c>
    </row>
    <row r="3057" spans="1:8" x14ac:dyDescent="0.3">
      <c r="A3057">
        <v>3</v>
      </c>
      <c r="B3057">
        <v>1</v>
      </c>
      <c r="C3057">
        <v>1</v>
      </c>
      <c r="D3057">
        <v>1</v>
      </c>
      <c r="E3057" t="s">
        <v>14</v>
      </c>
      <c r="F3057">
        <v>1</v>
      </c>
      <c r="G3057">
        <v>1</v>
      </c>
      <c r="H3057">
        <v>1</v>
      </c>
    </row>
    <row r="3058" spans="1:8" x14ac:dyDescent="0.3">
      <c r="A3058">
        <v>3</v>
      </c>
      <c r="B3058">
        <v>2</v>
      </c>
      <c r="C3058">
        <v>1</v>
      </c>
      <c r="D3058">
        <v>0</v>
      </c>
      <c r="E3058" t="s">
        <v>14</v>
      </c>
      <c r="F3058">
        <v>0</v>
      </c>
      <c r="G3058">
        <v>2</v>
      </c>
      <c r="H3058">
        <v>1</v>
      </c>
    </row>
    <row r="3059" spans="1:8" x14ac:dyDescent="0.3">
      <c r="A3059">
        <v>4</v>
      </c>
      <c r="B3059">
        <v>2</v>
      </c>
      <c r="C3059">
        <v>1</v>
      </c>
      <c r="D3059">
        <v>1</v>
      </c>
      <c r="E3059" t="s">
        <v>14</v>
      </c>
      <c r="F3059">
        <v>2</v>
      </c>
      <c r="G3059">
        <v>1</v>
      </c>
      <c r="H3059">
        <v>1</v>
      </c>
    </row>
    <row r="3060" spans="1:8" x14ac:dyDescent="0.3">
      <c r="A3060">
        <v>4</v>
      </c>
      <c r="B3060">
        <v>2</v>
      </c>
      <c r="C3060">
        <v>1</v>
      </c>
      <c r="D3060">
        <v>1</v>
      </c>
      <c r="E3060" t="s">
        <v>14</v>
      </c>
      <c r="F3060">
        <v>2</v>
      </c>
      <c r="G3060">
        <v>0</v>
      </c>
      <c r="H3060">
        <v>2</v>
      </c>
    </row>
    <row r="3061" spans="1:8" x14ac:dyDescent="0.3">
      <c r="A3061">
        <v>4</v>
      </c>
      <c r="B3061">
        <v>1</v>
      </c>
      <c r="C3061">
        <v>1</v>
      </c>
      <c r="D3061">
        <v>2</v>
      </c>
      <c r="E3061" t="s">
        <v>14</v>
      </c>
      <c r="F3061">
        <v>2</v>
      </c>
      <c r="G3061">
        <v>2</v>
      </c>
      <c r="H3061">
        <v>0</v>
      </c>
    </row>
    <row r="3062" spans="1:8" x14ac:dyDescent="0.3">
      <c r="A3062">
        <v>4</v>
      </c>
      <c r="B3062">
        <v>2</v>
      </c>
      <c r="C3062">
        <v>1</v>
      </c>
      <c r="D3062">
        <v>1</v>
      </c>
      <c r="E3062" t="s">
        <v>14</v>
      </c>
      <c r="F3062">
        <v>2</v>
      </c>
      <c r="G3062">
        <v>0</v>
      </c>
      <c r="H3062">
        <v>2</v>
      </c>
    </row>
    <row r="3063" spans="1:8" x14ac:dyDescent="0.3">
      <c r="A3063">
        <v>4</v>
      </c>
      <c r="B3063">
        <v>1</v>
      </c>
      <c r="C3063">
        <v>2</v>
      </c>
      <c r="D3063">
        <v>1</v>
      </c>
      <c r="E3063" t="s">
        <v>14</v>
      </c>
      <c r="F3063">
        <v>1</v>
      </c>
      <c r="G3063">
        <v>2</v>
      </c>
      <c r="H3063">
        <v>1</v>
      </c>
    </row>
    <row r="3064" spans="1:8" x14ac:dyDescent="0.3">
      <c r="A3064">
        <v>4</v>
      </c>
      <c r="B3064">
        <v>2</v>
      </c>
      <c r="C3064">
        <v>1</v>
      </c>
      <c r="D3064">
        <v>1</v>
      </c>
      <c r="E3064" t="s">
        <v>14</v>
      </c>
      <c r="F3064">
        <v>0</v>
      </c>
      <c r="G3064">
        <v>2</v>
      </c>
      <c r="H3064">
        <v>2</v>
      </c>
    </row>
    <row r="3065" spans="1:8" x14ac:dyDescent="0.3">
      <c r="A3065">
        <v>4</v>
      </c>
      <c r="B3065">
        <v>1</v>
      </c>
      <c r="C3065">
        <v>1</v>
      </c>
      <c r="D3065">
        <v>2</v>
      </c>
      <c r="E3065" t="s">
        <v>14</v>
      </c>
      <c r="F3065">
        <v>0</v>
      </c>
      <c r="G3065">
        <v>2</v>
      </c>
      <c r="H3065">
        <v>2</v>
      </c>
    </row>
    <row r="3066" spans="1:8" x14ac:dyDescent="0.3">
      <c r="A3066">
        <v>4</v>
      </c>
      <c r="B3066">
        <v>2</v>
      </c>
      <c r="C3066">
        <v>1</v>
      </c>
      <c r="D3066">
        <v>1</v>
      </c>
      <c r="E3066" t="s">
        <v>14</v>
      </c>
      <c r="F3066">
        <v>2</v>
      </c>
      <c r="G3066">
        <v>1</v>
      </c>
      <c r="H3066">
        <v>1</v>
      </c>
    </row>
    <row r="3067" spans="1:8" x14ac:dyDescent="0.3">
      <c r="A3067">
        <v>4</v>
      </c>
      <c r="B3067">
        <v>1</v>
      </c>
      <c r="C3067">
        <v>1</v>
      </c>
      <c r="D3067">
        <v>2</v>
      </c>
      <c r="E3067" t="s">
        <v>14</v>
      </c>
      <c r="F3067">
        <v>1</v>
      </c>
      <c r="G3067">
        <v>1</v>
      </c>
      <c r="H3067">
        <v>2</v>
      </c>
    </row>
    <row r="3068" spans="1:8" x14ac:dyDescent="0.3">
      <c r="A3068">
        <v>4</v>
      </c>
      <c r="B3068">
        <v>2</v>
      </c>
      <c r="C3068">
        <v>1</v>
      </c>
      <c r="D3068">
        <v>1</v>
      </c>
      <c r="E3068" t="s">
        <v>14</v>
      </c>
      <c r="F3068">
        <v>2</v>
      </c>
      <c r="G3068">
        <v>1</v>
      </c>
      <c r="H3068">
        <v>1</v>
      </c>
    </row>
    <row r="3069" spans="1:8" x14ac:dyDescent="0.3">
      <c r="A3069">
        <v>5</v>
      </c>
      <c r="B3069">
        <v>1</v>
      </c>
      <c r="C3069">
        <v>2</v>
      </c>
      <c r="D3069">
        <v>2</v>
      </c>
      <c r="E3069" t="s">
        <v>14</v>
      </c>
      <c r="F3069">
        <v>3</v>
      </c>
      <c r="G3069">
        <v>0</v>
      </c>
      <c r="H3069">
        <v>2</v>
      </c>
    </row>
    <row r="3070" spans="1:8" x14ac:dyDescent="0.3">
      <c r="A3070">
        <v>5</v>
      </c>
      <c r="B3070">
        <v>2</v>
      </c>
      <c r="C3070">
        <v>1</v>
      </c>
      <c r="D3070">
        <v>2</v>
      </c>
      <c r="E3070" t="s">
        <v>14</v>
      </c>
      <c r="F3070">
        <v>2</v>
      </c>
      <c r="G3070">
        <v>1</v>
      </c>
      <c r="H3070">
        <v>2</v>
      </c>
    </row>
    <row r="3071" spans="1:8" x14ac:dyDescent="0.3">
      <c r="A3071">
        <v>5</v>
      </c>
      <c r="B3071">
        <v>2</v>
      </c>
      <c r="C3071">
        <v>1</v>
      </c>
      <c r="D3071">
        <v>2</v>
      </c>
      <c r="E3071" t="s">
        <v>14</v>
      </c>
      <c r="F3071">
        <v>2</v>
      </c>
      <c r="G3071">
        <v>1</v>
      </c>
      <c r="H3071">
        <v>2</v>
      </c>
    </row>
    <row r="3072" spans="1:8" x14ac:dyDescent="0.3">
      <c r="A3072">
        <v>6</v>
      </c>
      <c r="B3072">
        <v>2</v>
      </c>
      <c r="C3072">
        <v>2</v>
      </c>
      <c r="D3072">
        <v>2</v>
      </c>
      <c r="E3072" t="s">
        <v>14</v>
      </c>
      <c r="F3072">
        <v>2</v>
      </c>
      <c r="G3072">
        <v>2</v>
      </c>
      <c r="H3072">
        <v>2</v>
      </c>
    </row>
    <row r="3073" spans="1:8" x14ac:dyDescent="0.3">
      <c r="A3073">
        <v>6</v>
      </c>
      <c r="B3073">
        <v>3</v>
      </c>
      <c r="C3073">
        <v>1</v>
      </c>
      <c r="D3073">
        <v>2</v>
      </c>
      <c r="E3073" t="s">
        <v>14</v>
      </c>
      <c r="F3073">
        <v>3</v>
      </c>
      <c r="G3073">
        <v>1</v>
      </c>
      <c r="H3073">
        <v>2</v>
      </c>
    </row>
    <row r="3074" spans="1:8" x14ac:dyDescent="0.3">
      <c r="A3074">
        <v>6</v>
      </c>
      <c r="B3074">
        <v>1</v>
      </c>
      <c r="C3074">
        <v>2</v>
      </c>
      <c r="D3074">
        <v>3</v>
      </c>
      <c r="E3074" t="s">
        <v>14</v>
      </c>
      <c r="F3074">
        <v>1</v>
      </c>
      <c r="G3074">
        <v>2</v>
      </c>
      <c r="H3074">
        <v>3</v>
      </c>
    </row>
    <row r="3075" spans="1:8" x14ac:dyDescent="0.3">
      <c r="A3075">
        <v>6</v>
      </c>
      <c r="B3075">
        <v>1</v>
      </c>
      <c r="C3075">
        <v>2</v>
      </c>
      <c r="D3075">
        <v>3</v>
      </c>
      <c r="E3075" t="s">
        <v>14</v>
      </c>
      <c r="F3075">
        <v>1</v>
      </c>
      <c r="G3075">
        <v>2</v>
      </c>
      <c r="H3075">
        <v>3</v>
      </c>
    </row>
    <row r="3076" spans="1:8" x14ac:dyDescent="0.3">
      <c r="A3076">
        <v>7</v>
      </c>
      <c r="B3076">
        <v>3</v>
      </c>
      <c r="C3076">
        <v>2</v>
      </c>
      <c r="D3076">
        <v>2</v>
      </c>
      <c r="E3076" t="s">
        <v>14</v>
      </c>
      <c r="F3076">
        <v>3</v>
      </c>
      <c r="G3076">
        <v>2</v>
      </c>
      <c r="H3076">
        <v>2</v>
      </c>
    </row>
    <row r="3077" spans="1:8" x14ac:dyDescent="0.3">
      <c r="A3077">
        <v>7</v>
      </c>
      <c r="B3077">
        <v>2</v>
      </c>
      <c r="C3077">
        <v>2</v>
      </c>
      <c r="D3077">
        <v>3</v>
      </c>
      <c r="E3077" t="s">
        <v>14</v>
      </c>
      <c r="F3077">
        <v>2</v>
      </c>
      <c r="G3077">
        <v>2</v>
      </c>
      <c r="H3077">
        <v>3</v>
      </c>
    </row>
    <row r="3078" spans="1:8" x14ac:dyDescent="0.3">
      <c r="A3078">
        <v>8</v>
      </c>
      <c r="B3078">
        <v>2</v>
      </c>
      <c r="C3078">
        <v>3</v>
      </c>
      <c r="D3078">
        <v>3</v>
      </c>
      <c r="E3078" t="s">
        <v>14</v>
      </c>
      <c r="F3078">
        <v>2</v>
      </c>
      <c r="G3078">
        <v>3</v>
      </c>
      <c r="H3078">
        <v>3</v>
      </c>
    </row>
    <row r="3079" spans="1:8" x14ac:dyDescent="0.3">
      <c r="A3079">
        <v>8</v>
      </c>
      <c r="B3079">
        <v>3</v>
      </c>
      <c r="C3079">
        <v>2</v>
      </c>
      <c r="D3079">
        <v>3</v>
      </c>
      <c r="E3079" t="s">
        <v>14</v>
      </c>
      <c r="F3079">
        <v>3</v>
      </c>
      <c r="G3079">
        <v>2</v>
      </c>
      <c r="H3079">
        <v>3</v>
      </c>
    </row>
    <row r="3080" spans="1:8" x14ac:dyDescent="0.3">
      <c r="A3080">
        <v>8</v>
      </c>
      <c r="B3080">
        <v>3</v>
      </c>
      <c r="C3080">
        <v>2</v>
      </c>
      <c r="D3080">
        <v>3</v>
      </c>
      <c r="E3080" t="s">
        <v>14</v>
      </c>
      <c r="F3080">
        <v>3</v>
      </c>
      <c r="G3080">
        <v>2</v>
      </c>
      <c r="H3080">
        <v>3</v>
      </c>
    </row>
    <row r="3081" spans="1:8" x14ac:dyDescent="0.3">
      <c r="A3081">
        <v>3</v>
      </c>
      <c r="B3081">
        <v>2</v>
      </c>
      <c r="C3081">
        <v>1</v>
      </c>
      <c r="D3081">
        <v>0</v>
      </c>
      <c r="E3081" t="s">
        <v>14</v>
      </c>
      <c r="F3081">
        <v>2</v>
      </c>
      <c r="G3081">
        <v>1</v>
      </c>
      <c r="H3081">
        <v>0</v>
      </c>
    </row>
    <row r="3082" spans="1:8" x14ac:dyDescent="0.3">
      <c r="A3082">
        <v>3</v>
      </c>
      <c r="B3082">
        <v>0</v>
      </c>
      <c r="C3082">
        <v>2</v>
      </c>
      <c r="D3082">
        <v>1</v>
      </c>
      <c r="E3082" t="s">
        <v>14</v>
      </c>
      <c r="F3082">
        <v>1</v>
      </c>
      <c r="G3082">
        <v>0</v>
      </c>
      <c r="H3082">
        <v>2</v>
      </c>
    </row>
    <row r="3083" spans="1:8" x14ac:dyDescent="0.3">
      <c r="A3083">
        <v>3</v>
      </c>
      <c r="B3083">
        <v>1</v>
      </c>
      <c r="C3083">
        <v>1</v>
      </c>
      <c r="D3083">
        <v>1</v>
      </c>
      <c r="E3083" t="s">
        <v>14</v>
      </c>
      <c r="F3083">
        <v>1</v>
      </c>
      <c r="G3083">
        <v>1</v>
      </c>
      <c r="H3083">
        <v>1</v>
      </c>
    </row>
    <row r="3084" spans="1:8" x14ac:dyDescent="0.3">
      <c r="A3084">
        <v>3</v>
      </c>
      <c r="B3084">
        <v>2</v>
      </c>
      <c r="C3084">
        <v>1</v>
      </c>
      <c r="D3084">
        <v>0</v>
      </c>
      <c r="E3084" t="s">
        <v>14</v>
      </c>
      <c r="F3084">
        <v>2</v>
      </c>
      <c r="G3084">
        <v>1</v>
      </c>
      <c r="H3084">
        <v>0</v>
      </c>
    </row>
    <row r="3085" spans="1:8" x14ac:dyDescent="0.3">
      <c r="A3085">
        <v>3</v>
      </c>
      <c r="B3085">
        <v>1</v>
      </c>
      <c r="C3085">
        <v>1</v>
      </c>
      <c r="D3085">
        <v>1</v>
      </c>
      <c r="E3085" t="s">
        <v>14</v>
      </c>
      <c r="F3085">
        <v>0</v>
      </c>
      <c r="G3085">
        <v>2</v>
      </c>
      <c r="H3085">
        <v>1</v>
      </c>
    </row>
    <row r="3086" spans="1:8" x14ac:dyDescent="0.3">
      <c r="A3086">
        <v>3</v>
      </c>
      <c r="B3086">
        <v>2</v>
      </c>
      <c r="C3086">
        <v>1</v>
      </c>
      <c r="D3086">
        <v>0</v>
      </c>
      <c r="E3086" t="s">
        <v>14</v>
      </c>
      <c r="F3086">
        <v>1</v>
      </c>
      <c r="G3086">
        <v>0</v>
      </c>
      <c r="H3086">
        <v>2</v>
      </c>
    </row>
    <row r="3087" spans="1:8" x14ac:dyDescent="0.3">
      <c r="A3087">
        <v>3</v>
      </c>
      <c r="B3087">
        <v>1</v>
      </c>
      <c r="C3087">
        <v>1</v>
      </c>
      <c r="D3087">
        <v>1</v>
      </c>
      <c r="E3087" t="s">
        <v>14</v>
      </c>
      <c r="F3087">
        <v>1</v>
      </c>
      <c r="G3087">
        <v>1</v>
      </c>
      <c r="H3087">
        <v>1</v>
      </c>
    </row>
    <row r="3088" spans="1:8" x14ac:dyDescent="0.3">
      <c r="A3088">
        <v>3</v>
      </c>
      <c r="B3088">
        <v>1</v>
      </c>
      <c r="C3088">
        <v>0</v>
      </c>
      <c r="D3088">
        <v>2</v>
      </c>
      <c r="E3088" t="s">
        <v>14</v>
      </c>
      <c r="F3088">
        <v>1</v>
      </c>
      <c r="G3088">
        <v>0</v>
      </c>
      <c r="H3088">
        <v>2</v>
      </c>
    </row>
    <row r="3089" spans="1:8" x14ac:dyDescent="0.3">
      <c r="A3089">
        <v>3</v>
      </c>
      <c r="B3089">
        <v>1</v>
      </c>
      <c r="C3089">
        <v>1</v>
      </c>
      <c r="D3089">
        <v>1</v>
      </c>
      <c r="E3089" t="s">
        <v>14</v>
      </c>
      <c r="F3089">
        <v>0</v>
      </c>
      <c r="G3089">
        <v>2</v>
      </c>
      <c r="H3089">
        <v>1</v>
      </c>
    </row>
    <row r="3090" spans="1:8" x14ac:dyDescent="0.3">
      <c r="A3090">
        <v>3</v>
      </c>
      <c r="B3090">
        <v>1</v>
      </c>
      <c r="C3090">
        <v>1</v>
      </c>
      <c r="D3090">
        <v>1</v>
      </c>
      <c r="E3090" t="s">
        <v>14</v>
      </c>
      <c r="F3090">
        <v>0</v>
      </c>
      <c r="G3090">
        <v>2</v>
      </c>
      <c r="H3090">
        <v>1</v>
      </c>
    </row>
    <row r="3091" spans="1:8" x14ac:dyDescent="0.3">
      <c r="A3091">
        <v>3</v>
      </c>
      <c r="B3091">
        <v>1</v>
      </c>
      <c r="C3091">
        <v>0</v>
      </c>
      <c r="D3091">
        <v>2</v>
      </c>
      <c r="E3091" t="s">
        <v>14</v>
      </c>
      <c r="F3091">
        <v>1</v>
      </c>
      <c r="G3091">
        <v>0</v>
      </c>
      <c r="H3091">
        <v>2</v>
      </c>
    </row>
    <row r="3092" spans="1:8" x14ac:dyDescent="0.3">
      <c r="A3092">
        <v>3</v>
      </c>
      <c r="B3092">
        <v>1</v>
      </c>
      <c r="C3092">
        <v>1</v>
      </c>
      <c r="D3092">
        <v>1</v>
      </c>
      <c r="E3092" t="s">
        <v>14</v>
      </c>
      <c r="F3092">
        <v>1</v>
      </c>
      <c r="G3092">
        <v>1</v>
      </c>
      <c r="H3092">
        <v>1</v>
      </c>
    </row>
    <row r="3093" spans="1:8" x14ac:dyDescent="0.3">
      <c r="A3093">
        <v>3</v>
      </c>
      <c r="B3093">
        <v>1</v>
      </c>
      <c r="C3093">
        <v>1</v>
      </c>
      <c r="D3093">
        <v>1</v>
      </c>
      <c r="E3093" t="s">
        <v>14</v>
      </c>
      <c r="F3093">
        <v>1</v>
      </c>
      <c r="G3093">
        <v>0</v>
      </c>
      <c r="H3093">
        <v>2</v>
      </c>
    </row>
    <row r="3094" spans="1:8" x14ac:dyDescent="0.3">
      <c r="A3094">
        <v>3</v>
      </c>
      <c r="B3094">
        <v>1</v>
      </c>
      <c r="C3094">
        <v>1</v>
      </c>
      <c r="D3094">
        <v>1</v>
      </c>
      <c r="E3094" t="s">
        <v>14</v>
      </c>
      <c r="F3094">
        <v>1</v>
      </c>
      <c r="G3094">
        <v>1</v>
      </c>
      <c r="H3094">
        <v>1</v>
      </c>
    </row>
    <row r="3095" spans="1:8" x14ac:dyDescent="0.3">
      <c r="A3095">
        <v>3</v>
      </c>
      <c r="B3095">
        <v>1</v>
      </c>
      <c r="C3095">
        <v>0</v>
      </c>
      <c r="D3095">
        <v>2</v>
      </c>
      <c r="E3095" t="s">
        <v>14</v>
      </c>
      <c r="F3095">
        <v>0</v>
      </c>
      <c r="G3095">
        <v>2</v>
      </c>
      <c r="H3095">
        <v>1</v>
      </c>
    </row>
    <row r="3096" spans="1:8" x14ac:dyDescent="0.3">
      <c r="A3096">
        <v>3</v>
      </c>
      <c r="B3096">
        <v>1</v>
      </c>
      <c r="C3096">
        <v>1</v>
      </c>
      <c r="D3096">
        <v>1</v>
      </c>
      <c r="E3096" t="s">
        <v>14</v>
      </c>
      <c r="F3096">
        <v>1</v>
      </c>
      <c r="G3096">
        <v>1</v>
      </c>
      <c r="H3096">
        <v>1</v>
      </c>
    </row>
    <row r="3097" spans="1:8" x14ac:dyDescent="0.3">
      <c r="A3097">
        <v>3</v>
      </c>
      <c r="B3097">
        <v>1</v>
      </c>
      <c r="C3097">
        <v>1</v>
      </c>
      <c r="D3097">
        <v>1</v>
      </c>
      <c r="E3097" t="s">
        <v>14</v>
      </c>
      <c r="F3097">
        <v>1</v>
      </c>
      <c r="G3097">
        <v>0</v>
      </c>
      <c r="H3097">
        <v>2</v>
      </c>
    </row>
    <row r="3098" spans="1:8" x14ac:dyDescent="0.3">
      <c r="A3098">
        <v>3</v>
      </c>
      <c r="B3098">
        <v>2</v>
      </c>
      <c r="C3098">
        <v>1</v>
      </c>
      <c r="D3098">
        <v>0</v>
      </c>
      <c r="E3098" t="s">
        <v>14</v>
      </c>
      <c r="F3098">
        <v>2</v>
      </c>
      <c r="G3098">
        <v>1</v>
      </c>
      <c r="H3098">
        <v>0</v>
      </c>
    </row>
    <row r="3099" spans="1:8" x14ac:dyDescent="0.3">
      <c r="A3099">
        <v>3</v>
      </c>
      <c r="B3099">
        <v>1</v>
      </c>
      <c r="C3099">
        <v>1</v>
      </c>
      <c r="D3099">
        <v>1</v>
      </c>
      <c r="E3099" t="s">
        <v>14</v>
      </c>
      <c r="F3099">
        <v>1</v>
      </c>
      <c r="G3099">
        <v>1</v>
      </c>
      <c r="H3099">
        <v>1</v>
      </c>
    </row>
    <row r="3100" spans="1:8" x14ac:dyDescent="0.3">
      <c r="A3100">
        <v>3</v>
      </c>
      <c r="B3100">
        <v>1</v>
      </c>
      <c r="C3100">
        <v>1</v>
      </c>
      <c r="D3100">
        <v>1</v>
      </c>
      <c r="E3100" t="s">
        <v>14</v>
      </c>
      <c r="F3100">
        <v>1</v>
      </c>
      <c r="G3100">
        <v>1</v>
      </c>
      <c r="H3100">
        <v>1</v>
      </c>
    </row>
    <row r="3101" spans="1:8" x14ac:dyDescent="0.3">
      <c r="A3101">
        <v>3</v>
      </c>
      <c r="B3101">
        <v>1</v>
      </c>
      <c r="C3101">
        <v>1</v>
      </c>
      <c r="D3101">
        <v>1</v>
      </c>
      <c r="E3101" t="s">
        <v>14</v>
      </c>
      <c r="F3101">
        <v>1</v>
      </c>
      <c r="G3101">
        <v>1</v>
      </c>
      <c r="H3101">
        <v>1</v>
      </c>
    </row>
    <row r="3102" spans="1:8" x14ac:dyDescent="0.3">
      <c r="A3102">
        <v>3</v>
      </c>
      <c r="B3102">
        <v>0</v>
      </c>
      <c r="C3102">
        <v>2</v>
      </c>
      <c r="D3102">
        <v>1</v>
      </c>
      <c r="E3102" t="s">
        <v>14</v>
      </c>
      <c r="F3102">
        <v>1</v>
      </c>
      <c r="G3102">
        <v>0</v>
      </c>
      <c r="H3102">
        <v>2</v>
      </c>
    </row>
    <row r="3103" spans="1:8" x14ac:dyDescent="0.3">
      <c r="A3103">
        <v>3</v>
      </c>
      <c r="B3103">
        <v>1</v>
      </c>
      <c r="C3103">
        <v>0</v>
      </c>
      <c r="D3103">
        <v>2</v>
      </c>
      <c r="E3103" t="s">
        <v>14</v>
      </c>
      <c r="F3103">
        <v>2</v>
      </c>
      <c r="G3103">
        <v>1</v>
      </c>
      <c r="H3103">
        <v>0</v>
      </c>
    </row>
    <row r="3104" spans="1:8" x14ac:dyDescent="0.3">
      <c r="A3104">
        <v>3</v>
      </c>
      <c r="B3104">
        <v>1</v>
      </c>
      <c r="C3104">
        <v>1</v>
      </c>
      <c r="D3104">
        <v>1</v>
      </c>
      <c r="E3104" t="s">
        <v>14</v>
      </c>
      <c r="F3104">
        <v>1</v>
      </c>
      <c r="G3104">
        <v>1</v>
      </c>
      <c r="H3104">
        <v>1</v>
      </c>
    </row>
    <row r="3105" spans="1:8" x14ac:dyDescent="0.3">
      <c r="A3105">
        <v>3</v>
      </c>
      <c r="B3105">
        <v>1</v>
      </c>
      <c r="C3105">
        <v>0</v>
      </c>
      <c r="D3105">
        <v>2</v>
      </c>
      <c r="E3105" t="s">
        <v>14</v>
      </c>
      <c r="F3105">
        <v>1</v>
      </c>
      <c r="G3105">
        <v>0</v>
      </c>
      <c r="H3105">
        <v>2</v>
      </c>
    </row>
    <row r="3106" spans="1:8" x14ac:dyDescent="0.3">
      <c r="A3106">
        <v>3</v>
      </c>
      <c r="B3106">
        <v>1</v>
      </c>
      <c r="C3106">
        <v>1</v>
      </c>
      <c r="D3106">
        <v>1</v>
      </c>
      <c r="E3106" t="s">
        <v>14</v>
      </c>
      <c r="F3106">
        <v>1</v>
      </c>
      <c r="G3106">
        <v>1</v>
      </c>
      <c r="H3106">
        <v>1</v>
      </c>
    </row>
    <row r="3107" spans="1:8" x14ac:dyDescent="0.3">
      <c r="A3107">
        <v>3</v>
      </c>
      <c r="B3107">
        <v>1</v>
      </c>
      <c r="C3107">
        <v>1</v>
      </c>
      <c r="D3107">
        <v>1</v>
      </c>
      <c r="E3107" t="s">
        <v>14</v>
      </c>
      <c r="F3107">
        <v>1</v>
      </c>
      <c r="G3107">
        <v>1</v>
      </c>
      <c r="H3107">
        <v>1</v>
      </c>
    </row>
    <row r="3108" spans="1:8" x14ac:dyDescent="0.3">
      <c r="A3108">
        <v>3</v>
      </c>
      <c r="B3108">
        <v>1</v>
      </c>
      <c r="C3108">
        <v>1</v>
      </c>
      <c r="D3108">
        <v>1</v>
      </c>
      <c r="E3108" t="s">
        <v>14</v>
      </c>
      <c r="F3108">
        <v>1</v>
      </c>
      <c r="G3108">
        <v>1</v>
      </c>
      <c r="H3108">
        <v>1</v>
      </c>
    </row>
    <row r="3109" spans="1:8" x14ac:dyDescent="0.3">
      <c r="A3109">
        <v>3</v>
      </c>
      <c r="B3109">
        <v>1</v>
      </c>
      <c r="C3109">
        <v>1</v>
      </c>
      <c r="D3109">
        <v>1</v>
      </c>
      <c r="E3109" t="s">
        <v>14</v>
      </c>
      <c r="F3109">
        <v>2</v>
      </c>
      <c r="G3109">
        <v>1</v>
      </c>
      <c r="H3109">
        <v>0</v>
      </c>
    </row>
    <row r="3110" spans="1:8" x14ac:dyDescent="0.3">
      <c r="A3110">
        <v>3</v>
      </c>
      <c r="B3110">
        <v>1</v>
      </c>
      <c r="C3110">
        <v>1</v>
      </c>
      <c r="D3110">
        <v>1</v>
      </c>
      <c r="E3110" t="s">
        <v>14</v>
      </c>
      <c r="F3110">
        <v>1</v>
      </c>
      <c r="G3110">
        <v>1</v>
      </c>
      <c r="H3110">
        <v>1</v>
      </c>
    </row>
    <row r="3111" spans="1:8" x14ac:dyDescent="0.3">
      <c r="A3111">
        <v>3</v>
      </c>
      <c r="B3111">
        <v>1</v>
      </c>
      <c r="C3111">
        <v>0</v>
      </c>
      <c r="D3111">
        <v>2</v>
      </c>
      <c r="E3111" t="s">
        <v>14</v>
      </c>
      <c r="F3111">
        <v>2</v>
      </c>
      <c r="G3111">
        <v>1</v>
      </c>
      <c r="H3111">
        <v>0</v>
      </c>
    </row>
    <row r="3112" spans="1:8" x14ac:dyDescent="0.3">
      <c r="A3112">
        <v>3</v>
      </c>
      <c r="B3112">
        <v>1</v>
      </c>
      <c r="C3112">
        <v>1</v>
      </c>
      <c r="D3112">
        <v>1</v>
      </c>
      <c r="E3112" t="s">
        <v>14</v>
      </c>
      <c r="F3112">
        <v>2</v>
      </c>
      <c r="G3112">
        <v>1</v>
      </c>
      <c r="H3112">
        <v>0</v>
      </c>
    </row>
    <row r="3113" spans="1:8" x14ac:dyDescent="0.3">
      <c r="A3113">
        <v>3</v>
      </c>
      <c r="B3113">
        <v>1</v>
      </c>
      <c r="C3113">
        <v>1</v>
      </c>
      <c r="D3113">
        <v>1</v>
      </c>
      <c r="E3113" t="s">
        <v>14</v>
      </c>
      <c r="F3113">
        <v>2</v>
      </c>
      <c r="G3113">
        <v>1</v>
      </c>
      <c r="H3113">
        <v>0</v>
      </c>
    </row>
    <row r="3114" spans="1:8" x14ac:dyDescent="0.3">
      <c r="A3114">
        <v>3</v>
      </c>
      <c r="B3114">
        <v>1</v>
      </c>
      <c r="C3114">
        <v>1</v>
      </c>
      <c r="D3114">
        <v>1</v>
      </c>
      <c r="E3114" t="s">
        <v>14</v>
      </c>
      <c r="F3114">
        <v>1</v>
      </c>
      <c r="G3114">
        <v>1</v>
      </c>
      <c r="H3114">
        <v>1</v>
      </c>
    </row>
    <row r="3115" spans="1:8" x14ac:dyDescent="0.3">
      <c r="A3115">
        <v>3</v>
      </c>
      <c r="B3115">
        <v>1</v>
      </c>
      <c r="C3115">
        <v>1</v>
      </c>
      <c r="D3115">
        <v>1</v>
      </c>
      <c r="E3115" t="s">
        <v>14</v>
      </c>
      <c r="F3115">
        <v>1</v>
      </c>
      <c r="G3115">
        <v>0</v>
      </c>
      <c r="H3115">
        <v>2</v>
      </c>
    </row>
    <row r="3116" spans="1:8" x14ac:dyDescent="0.3">
      <c r="A3116">
        <v>3</v>
      </c>
      <c r="B3116">
        <v>0</v>
      </c>
      <c r="C3116">
        <v>2</v>
      </c>
      <c r="D3116">
        <v>1</v>
      </c>
      <c r="E3116" t="s">
        <v>14</v>
      </c>
      <c r="F3116">
        <v>0</v>
      </c>
      <c r="G3116">
        <v>2</v>
      </c>
      <c r="H3116">
        <v>1</v>
      </c>
    </row>
    <row r="3117" spans="1:8" x14ac:dyDescent="0.3">
      <c r="A3117">
        <v>3</v>
      </c>
      <c r="B3117">
        <v>1</v>
      </c>
      <c r="C3117">
        <v>1</v>
      </c>
      <c r="D3117">
        <v>1</v>
      </c>
      <c r="E3117" t="s">
        <v>14</v>
      </c>
      <c r="F3117">
        <v>1</v>
      </c>
      <c r="G3117">
        <v>1</v>
      </c>
      <c r="H3117">
        <v>1</v>
      </c>
    </row>
    <row r="3118" spans="1:8" x14ac:dyDescent="0.3">
      <c r="A3118">
        <v>3</v>
      </c>
      <c r="B3118">
        <v>0</v>
      </c>
      <c r="C3118">
        <v>2</v>
      </c>
      <c r="D3118">
        <v>1</v>
      </c>
      <c r="E3118" t="s">
        <v>14</v>
      </c>
      <c r="F3118">
        <v>2</v>
      </c>
      <c r="G3118">
        <v>1</v>
      </c>
      <c r="H3118">
        <v>0</v>
      </c>
    </row>
    <row r="3119" spans="1:8" x14ac:dyDescent="0.3">
      <c r="A3119">
        <v>3</v>
      </c>
      <c r="B3119">
        <v>0</v>
      </c>
      <c r="C3119">
        <v>2</v>
      </c>
      <c r="D3119">
        <v>1</v>
      </c>
      <c r="E3119" t="s">
        <v>14</v>
      </c>
      <c r="F3119">
        <v>2</v>
      </c>
      <c r="G3119">
        <v>1</v>
      </c>
      <c r="H3119">
        <v>0</v>
      </c>
    </row>
    <row r="3120" spans="1:8" x14ac:dyDescent="0.3">
      <c r="A3120">
        <v>3</v>
      </c>
      <c r="B3120">
        <v>1</v>
      </c>
      <c r="C3120">
        <v>1</v>
      </c>
      <c r="D3120">
        <v>1</v>
      </c>
      <c r="E3120" t="s">
        <v>14</v>
      </c>
      <c r="F3120">
        <v>2</v>
      </c>
      <c r="G3120">
        <v>1</v>
      </c>
      <c r="H3120">
        <v>0</v>
      </c>
    </row>
    <row r="3121" spans="1:8" x14ac:dyDescent="0.3">
      <c r="A3121">
        <v>3</v>
      </c>
      <c r="B3121">
        <v>1</v>
      </c>
      <c r="C3121">
        <v>1</v>
      </c>
      <c r="D3121">
        <v>1</v>
      </c>
      <c r="E3121" t="s">
        <v>14</v>
      </c>
      <c r="F3121">
        <v>1</v>
      </c>
      <c r="G3121">
        <v>0</v>
      </c>
      <c r="H3121">
        <v>2</v>
      </c>
    </row>
    <row r="3122" spans="1:8" x14ac:dyDescent="0.3">
      <c r="A3122">
        <v>3</v>
      </c>
      <c r="B3122">
        <v>1</v>
      </c>
      <c r="C3122">
        <v>0</v>
      </c>
      <c r="D3122">
        <v>2</v>
      </c>
      <c r="E3122" t="s">
        <v>14</v>
      </c>
      <c r="F3122">
        <v>1</v>
      </c>
      <c r="G3122">
        <v>0</v>
      </c>
      <c r="H3122">
        <v>2</v>
      </c>
    </row>
    <row r="3123" spans="1:8" x14ac:dyDescent="0.3">
      <c r="A3123">
        <v>3</v>
      </c>
      <c r="B3123">
        <v>1</v>
      </c>
      <c r="C3123">
        <v>1</v>
      </c>
      <c r="D3123">
        <v>1</v>
      </c>
      <c r="E3123" t="s">
        <v>14</v>
      </c>
      <c r="F3123">
        <v>1</v>
      </c>
      <c r="G3123">
        <v>0</v>
      </c>
      <c r="H3123">
        <v>2</v>
      </c>
    </row>
    <row r="3124" spans="1:8" x14ac:dyDescent="0.3">
      <c r="A3124">
        <v>3</v>
      </c>
      <c r="B3124">
        <v>1</v>
      </c>
      <c r="C3124">
        <v>1</v>
      </c>
      <c r="D3124">
        <v>1</v>
      </c>
      <c r="E3124" t="s">
        <v>14</v>
      </c>
      <c r="F3124">
        <v>1</v>
      </c>
      <c r="G3124">
        <v>1</v>
      </c>
      <c r="H3124">
        <v>1</v>
      </c>
    </row>
    <row r="3125" spans="1:8" x14ac:dyDescent="0.3">
      <c r="A3125">
        <v>3</v>
      </c>
      <c r="B3125">
        <v>1</v>
      </c>
      <c r="C3125">
        <v>1</v>
      </c>
      <c r="D3125">
        <v>1</v>
      </c>
      <c r="E3125" t="s">
        <v>14</v>
      </c>
      <c r="F3125">
        <v>1</v>
      </c>
      <c r="G3125">
        <v>1</v>
      </c>
      <c r="H3125">
        <v>1</v>
      </c>
    </row>
    <row r="3126" spans="1:8" x14ac:dyDescent="0.3">
      <c r="A3126">
        <v>3</v>
      </c>
      <c r="B3126">
        <v>1</v>
      </c>
      <c r="C3126">
        <v>1</v>
      </c>
      <c r="D3126">
        <v>1</v>
      </c>
      <c r="E3126" t="s">
        <v>14</v>
      </c>
      <c r="F3126">
        <v>0</v>
      </c>
      <c r="G3126">
        <v>2</v>
      </c>
      <c r="H3126">
        <v>1</v>
      </c>
    </row>
    <row r="3127" spans="1:8" x14ac:dyDescent="0.3">
      <c r="A3127">
        <v>3</v>
      </c>
      <c r="B3127">
        <v>1</v>
      </c>
      <c r="C3127">
        <v>1</v>
      </c>
      <c r="D3127">
        <v>1</v>
      </c>
      <c r="E3127" t="s">
        <v>14</v>
      </c>
      <c r="F3127">
        <v>0</v>
      </c>
      <c r="G3127">
        <v>2</v>
      </c>
      <c r="H3127">
        <v>1</v>
      </c>
    </row>
    <row r="3128" spans="1:8" x14ac:dyDescent="0.3">
      <c r="A3128">
        <v>4</v>
      </c>
      <c r="B3128">
        <v>2</v>
      </c>
      <c r="C3128">
        <v>1</v>
      </c>
      <c r="D3128">
        <v>1</v>
      </c>
      <c r="E3128" t="s">
        <v>14</v>
      </c>
      <c r="F3128">
        <v>2</v>
      </c>
      <c r="G3128">
        <v>0</v>
      </c>
      <c r="H3128">
        <v>2</v>
      </c>
    </row>
    <row r="3129" spans="1:8" x14ac:dyDescent="0.3">
      <c r="A3129">
        <v>4</v>
      </c>
      <c r="B3129">
        <v>1</v>
      </c>
      <c r="C3129">
        <v>1</v>
      </c>
      <c r="D3129">
        <v>2</v>
      </c>
      <c r="E3129" t="s">
        <v>14</v>
      </c>
      <c r="F3129">
        <v>0</v>
      </c>
      <c r="G3129">
        <v>2</v>
      </c>
      <c r="H3129">
        <v>2</v>
      </c>
    </row>
    <row r="3130" spans="1:8" x14ac:dyDescent="0.3">
      <c r="A3130">
        <v>4</v>
      </c>
      <c r="B3130">
        <v>2</v>
      </c>
      <c r="C3130">
        <v>1</v>
      </c>
      <c r="D3130">
        <v>1</v>
      </c>
      <c r="E3130" t="s">
        <v>14</v>
      </c>
      <c r="F3130">
        <v>2</v>
      </c>
      <c r="G3130">
        <v>1</v>
      </c>
      <c r="H3130">
        <v>1</v>
      </c>
    </row>
    <row r="3131" spans="1:8" x14ac:dyDescent="0.3">
      <c r="A3131">
        <v>4</v>
      </c>
      <c r="B3131">
        <v>1</v>
      </c>
      <c r="C3131">
        <v>1</v>
      </c>
      <c r="D3131">
        <v>2</v>
      </c>
      <c r="E3131" t="s">
        <v>14</v>
      </c>
      <c r="F3131">
        <v>2</v>
      </c>
      <c r="G3131">
        <v>0</v>
      </c>
      <c r="H3131">
        <v>2</v>
      </c>
    </row>
    <row r="3132" spans="1:8" x14ac:dyDescent="0.3">
      <c r="A3132">
        <v>4</v>
      </c>
      <c r="B3132">
        <v>1</v>
      </c>
      <c r="C3132">
        <v>1</v>
      </c>
      <c r="D3132">
        <v>2</v>
      </c>
      <c r="E3132" t="s">
        <v>14</v>
      </c>
      <c r="F3132">
        <v>2</v>
      </c>
      <c r="G3132">
        <v>2</v>
      </c>
      <c r="H3132">
        <v>0</v>
      </c>
    </row>
    <row r="3133" spans="1:8" x14ac:dyDescent="0.3">
      <c r="A3133">
        <v>4</v>
      </c>
      <c r="B3133">
        <v>1</v>
      </c>
      <c r="C3133">
        <v>1</v>
      </c>
      <c r="D3133">
        <v>2</v>
      </c>
      <c r="E3133" t="s">
        <v>14</v>
      </c>
      <c r="F3133">
        <v>1</v>
      </c>
      <c r="G3133">
        <v>1</v>
      </c>
      <c r="H3133">
        <v>2</v>
      </c>
    </row>
    <row r="3134" spans="1:8" x14ac:dyDescent="0.3">
      <c r="A3134">
        <v>4</v>
      </c>
      <c r="B3134">
        <v>1</v>
      </c>
      <c r="C3134">
        <v>2</v>
      </c>
      <c r="D3134">
        <v>1</v>
      </c>
      <c r="E3134" t="s">
        <v>14</v>
      </c>
      <c r="F3134">
        <v>1</v>
      </c>
      <c r="G3134">
        <v>2</v>
      </c>
      <c r="H3134">
        <v>1</v>
      </c>
    </row>
    <row r="3135" spans="1:8" x14ac:dyDescent="0.3">
      <c r="A3135">
        <v>4</v>
      </c>
      <c r="B3135">
        <v>2</v>
      </c>
      <c r="C3135">
        <v>1</v>
      </c>
      <c r="D3135">
        <v>1</v>
      </c>
      <c r="E3135" t="s">
        <v>14</v>
      </c>
      <c r="F3135">
        <v>2</v>
      </c>
      <c r="G3135">
        <v>1</v>
      </c>
      <c r="H3135">
        <v>1</v>
      </c>
    </row>
    <row r="3136" spans="1:8" x14ac:dyDescent="0.3">
      <c r="A3136">
        <v>4</v>
      </c>
      <c r="B3136">
        <v>1</v>
      </c>
      <c r="C3136">
        <v>1</v>
      </c>
      <c r="D3136">
        <v>2</v>
      </c>
      <c r="E3136" t="s">
        <v>14</v>
      </c>
      <c r="F3136">
        <v>1</v>
      </c>
      <c r="G3136">
        <v>1</v>
      </c>
      <c r="H3136">
        <v>2</v>
      </c>
    </row>
    <row r="3137" spans="1:8" x14ac:dyDescent="0.3">
      <c r="A3137">
        <v>4</v>
      </c>
      <c r="B3137">
        <v>1</v>
      </c>
      <c r="C3137">
        <v>1</v>
      </c>
      <c r="D3137">
        <v>2</v>
      </c>
      <c r="E3137" t="s">
        <v>14</v>
      </c>
      <c r="F3137">
        <v>1</v>
      </c>
      <c r="G3137">
        <v>1</v>
      </c>
      <c r="H3137">
        <v>2</v>
      </c>
    </row>
    <row r="3138" spans="1:8" x14ac:dyDescent="0.3">
      <c r="A3138">
        <v>4</v>
      </c>
      <c r="B3138">
        <v>1</v>
      </c>
      <c r="C3138">
        <v>1</v>
      </c>
      <c r="D3138">
        <v>2</v>
      </c>
      <c r="E3138" t="s">
        <v>14</v>
      </c>
      <c r="F3138">
        <v>2</v>
      </c>
      <c r="G3138">
        <v>0</v>
      </c>
      <c r="H3138">
        <v>2</v>
      </c>
    </row>
    <row r="3139" spans="1:8" x14ac:dyDescent="0.3">
      <c r="A3139">
        <v>5</v>
      </c>
      <c r="B3139">
        <v>2</v>
      </c>
      <c r="C3139">
        <v>1</v>
      </c>
      <c r="D3139">
        <v>2</v>
      </c>
      <c r="E3139" t="s">
        <v>14</v>
      </c>
      <c r="F3139">
        <v>2</v>
      </c>
      <c r="G3139">
        <v>1</v>
      </c>
      <c r="H3139">
        <v>2</v>
      </c>
    </row>
    <row r="3140" spans="1:8" x14ac:dyDescent="0.3">
      <c r="A3140">
        <v>5</v>
      </c>
      <c r="B3140">
        <v>2</v>
      </c>
      <c r="C3140">
        <v>2</v>
      </c>
      <c r="D3140">
        <v>1</v>
      </c>
      <c r="E3140" t="s">
        <v>14</v>
      </c>
      <c r="F3140">
        <v>2</v>
      </c>
      <c r="G3140">
        <v>2</v>
      </c>
      <c r="H3140">
        <v>1</v>
      </c>
    </row>
    <row r="3141" spans="1:8" x14ac:dyDescent="0.3">
      <c r="A3141">
        <v>5</v>
      </c>
      <c r="B3141">
        <v>2</v>
      </c>
      <c r="C3141">
        <v>2</v>
      </c>
      <c r="D3141">
        <v>1</v>
      </c>
      <c r="E3141" t="s">
        <v>14</v>
      </c>
      <c r="F3141">
        <v>2</v>
      </c>
      <c r="G3141">
        <v>2</v>
      </c>
      <c r="H3141">
        <v>1</v>
      </c>
    </row>
    <row r="3142" spans="1:8" x14ac:dyDescent="0.3">
      <c r="A3142">
        <v>5</v>
      </c>
      <c r="B3142">
        <v>2</v>
      </c>
      <c r="C3142">
        <v>2</v>
      </c>
      <c r="D3142">
        <v>1</v>
      </c>
      <c r="E3142" t="s">
        <v>14</v>
      </c>
      <c r="F3142">
        <v>2</v>
      </c>
      <c r="G3142">
        <v>2</v>
      </c>
      <c r="H3142">
        <v>1</v>
      </c>
    </row>
    <row r="3143" spans="1:8" x14ac:dyDescent="0.3">
      <c r="A3143">
        <v>5</v>
      </c>
      <c r="B3143">
        <v>1</v>
      </c>
      <c r="C3143">
        <v>2</v>
      </c>
      <c r="D3143">
        <v>2</v>
      </c>
      <c r="E3143" t="s">
        <v>14</v>
      </c>
      <c r="F3143">
        <v>3</v>
      </c>
      <c r="G3143">
        <v>0</v>
      </c>
      <c r="H3143">
        <v>2</v>
      </c>
    </row>
    <row r="3144" spans="1:8" x14ac:dyDescent="0.3">
      <c r="A3144">
        <v>6</v>
      </c>
      <c r="B3144">
        <v>2</v>
      </c>
      <c r="C3144">
        <v>3</v>
      </c>
      <c r="D3144">
        <v>1</v>
      </c>
      <c r="E3144" t="s">
        <v>14</v>
      </c>
      <c r="F3144">
        <v>2</v>
      </c>
      <c r="G3144">
        <v>3</v>
      </c>
      <c r="H3144">
        <v>1</v>
      </c>
    </row>
    <row r="3145" spans="1:8" x14ac:dyDescent="0.3">
      <c r="A3145">
        <v>6</v>
      </c>
      <c r="B3145">
        <v>2</v>
      </c>
      <c r="C3145">
        <v>3</v>
      </c>
      <c r="D3145">
        <v>1</v>
      </c>
      <c r="E3145" t="s">
        <v>14</v>
      </c>
      <c r="F3145">
        <v>2</v>
      </c>
      <c r="G3145">
        <v>3</v>
      </c>
      <c r="H3145">
        <v>1</v>
      </c>
    </row>
    <row r="3146" spans="1:8" x14ac:dyDescent="0.3">
      <c r="A3146">
        <v>6</v>
      </c>
      <c r="B3146">
        <v>2</v>
      </c>
      <c r="C3146">
        <v>3</v>
      </c>
      <c r="D3146">
        <v>1</v>
      </c>
      <c r="E3146" t="s">
        <v>14</v>
      </c>
      <c r="F3146">
        <v>2</v>
      </c>
      <c r="G3146">
        <v>3</v>
      </c>
      <c r="H3146">
        <v>1</v>
      </c>
    </row>
    <row r="3147" spans="1:8" x14ac:dyDescent="0.3">
      <c r="A3147">
        <v>6</v>
      </c>
      <c r="B3147">
        <v>1</v>
      </c>
      <c r="C3147">
        <v>2</v>
      </c>
      <c r="D3147">
        <v>3</v>
      </c>
      <c r="E3147" t="s">
        <v>14</v>
      </c>
      <c r="F3147">
        <v>1</v>
      </c>
      <c r="G3147">
        <v>2</v>
      </c>
      <c r="H3147">
        <v>3</v>
      </c>
    </row>
    <row r="3148" spans="1:8" x14ac:dyDescent="0.3">
      <c r="A3148">
        <v>6</v>
      </c>
      <c r="B3148">
        <v>3</v>
      </c>
      <c r="C3148">
        <v>1</v>
      </c>
      <c r="D3148">
        <v>2</v>
      </c>
      <c r="E3148" t="s">
        <v>14</v>
      </c>
      <c r="F3148">
        <v>3</v>
      </c>
      <c r="G3148">
        <v>1</v>
      </c>
      <c r="H3148">
        <v>2</v>
      </c>
    </row>
    <row r="3149" spans="1:8" x14ac:dyDescent="0.3">
      <c r="A3149">
        <v>7</v>
      </c>
      <c r="B3149">
        <v>2</v>
      </c>
      <c r="C3149">
        <v>2</v>
      </c>
      <c r="D3149">
        <v>3</v>
      </c>
      <c r="E3149" t="s">
        <v>14</v>
      </c>
      <c r="F3149">
        <v>2</v>
      </c>
      <c r="G3149">
        <v>2</v>
      </c>
      <c r="H3149">
        <v>3</v>
      </c>
    </row>
    <row r="3150" spans="1:8" x14ac:dyDescent="0.3">
      <c r="A3150">
        <v>8</v>
      </c>
      <c r="B3150">
        <v>3</v>
      </c>
      <c r="C3150">
        <v>3</v>
      </c>
      <c r="D3150">
        <v>2</v>
      </c>
      <c r="E3150" t="s">
        <v>14</v>
      </c>
      <c r="F3150">
        <v>3</v>
      </c>
      <c r="G3150">
        <v>3</v>
      </c>
      <c r="H3150">
        <v>2</v>
      </c>
    </row>
    <row r="3151" spans="1:8" x14ac:dyDescent="0.3">
      <c r="A3151">
        <v>2</v>
      </c>
      <c r="B3151">
        <v>1</v>
      </c>
      <c r="C3151">
        <v>1</v>
      </c>
      <c r="D3151">
        <v>0</v>
      </c>
      <c r="E3151" t="s">
        <v>14</v>
      </c>
      <c r="F3151">
        <v>0</v>
      </c>
      <c r="G3151">
        <v>2</v>
      </c>
      <c r="H3151">
        <v>0</v>
      </c>
    </row>
    <row r="3152" spans="1:8" x14ac:dyDescent="0.3">
      <c r="A3152">
        <v>2</v>
      </c>
      <c r="B3152">
        <v>1</v>
      </c>
      <c r="C3152">
        <v>0</v>
      </c>
      <c r="D3152">
        <v>1</v>
      </c>
      <c r="E3152" t="s">
        <v>14</v>
      </c>
      <c r="F3152">
        <v>1</v>
      </c>
      <c r="G3152">
        <v>0</v>
      </c>
      <c r="H3152">
        <v>1</v>
      </c>
    </row>
    <row r="3153" spans="1:8" x14ac:dyDescent="0.3">
      <c r="A3153">
        <v>2</v>
      </c>
      <c r="B3153">
        <v>1</v>
      </c>
      <c r="C3153">
        <v>1</v>
      </c>
      <c r="D3153">
        <v>0</v>
      </c>
      <c r="E3153" t="s">
        <v>14</v>
      </c>
      <c r="F3153">
        <v>1</v>
      </c>
      <c r="G3153">
        <v>1</v>
      </c>
      <c r="H3153">
        <v>0</v>
      </c>
    </row>
    <row r="3154" spans="1:8" x14ac:dyDescent="0.3">
      <c r="A3154">
        <v>2</v>
      </c>
      <c r="B3154">
        <v>1</v>
      </c>
      <c r="C3154">
        <v>1</v>
      </c>
      <c r="D3154">
        <v>0</v>
      </c>
      <c r="E3154" t="s">
        <v>14</v>
      </c>
      <c r="F3154">
        <v>1</v>
      </c>
      <c r="G3154">
        <v>1</v>
      </c>
      <c r="H3154">
        <v>0</v>
      </c>
    </row>
    <row r="3155" spans="1:8" x14ac:dyDescent="0.3">
      <c r="A3155">
        <v>2</v>
      </c>
      <c r="B3155">
        <v>1</v>
      </c>
      <c r="C3155">
        <v>0</v>
      </c>
      <c r="D3155">
        <v>1</v>
      </c>
      <c r="E3155" t="s">
        <v>14</v>
      </c>
      <c r="F3155">
        <v>1</v>
      </c>
      <c r="G3155">
        <v>0</v>
      </c>
      <c r="H3155">
        <v>1</v>
      </c>
    </row>
    <row r="3156" spans="1:8" x14ac:dyDescent="0.3">
      <c r="A3156">
        <v>3</v>
      </c>
      <c r="B3156">
        <v>1</v>
      </c>
      <c r="C3156">
        <v>1</v>
      </c>
      <c r="D3156">
        <v>1</v>
      </c>
      <c r="E3156" t="s">
        <v>14</v>
      </c>
      <c r="F3156">
        <v>1</v>
      </c>
      <c r="G3156">
        <v>1</v>
      </c>
      <c r="H3156">
        <v>1</v>
      </c>
    </row>
    <row r="3157" spans="1:8" x14ac:dyDescent="0.3">
      <c r="A3157">
        <v>3</v>
      </c>
      <c r="B3157">
        <v>1</v>
      </c>
      <c r="C3157">
        <v>1</v>
      </c>
      <c r="D3157">
        <v>1</v>
      </c>
      <c r="E3157" t="s">
        <v>14</v>
      </c>
      <c r="F3157">
        <v>0</v>
      </c>
      <c r="G3157">
        <v>2</v>
      </c>
      <c r="H3157">
        <v>1</v>
      </c>
    </row>
    <row r="3158" spans="1:8" x14ac:dyDescent="0.3">
      <c r="A3158">
        <v>3</v>
      </c>
      <c r="B3158">
        <v>1</v>
      </c>
      <c r="C3158">
        <v>0</v>
      </c>
      <c r="D3158">
        <v>2</v>
      </c>
      <c r="E3158" t="s">
        <v>14</v>
      </c>
      <c r="F3158">
        <v>1</v>
      </c>
      <c r="G3158">
        <v>0</v>
      </c>
      <c r="H3158">
        <v>2</v>
      </c>
    </row>
    <row r="3159" spans="1:8" x14ac:dyDescent="0.3">
      <c r="A3159">
        <v>3</v>
      </c>
      <c r="B3159">
        <v>1</v>
      </c>
      <c r="C3159">
        <v>1</v>
      </c>
      <c r="D3159">
        <v>1</v>
      </c>
      <c r="E3159" t="s">
        <v>14</v>
      </c>
      <c r="F3159">
        <v>1</v>
      </c>
      <c r="G3159">
        <v>0</v>
      </c>
      <c r="H3159">
        <v>2</v>
      </c>
    </row>
    <row r="3160" spans="1:8" x14ac:dyDescent="0.3">
      <c r="A3160">
        <v>3</v>
      </c>
      <c r="B3160">
        <v>1</v>
      </c>
      <c r="C3160">
        <v>1</v>
      </c>
      <c r="D3160">
        <v>1</v>
      </c>
      <c r="E3160" t="s">
        <v>14</v>
      </c>
      <c r="F3160">
        <v>1</v>
      </c>
      <c r="G3160">
        <v>1</v>
      </c>
      <c r="H3160">
        <v>1</v>
      </c>
    </row>
    <row r="3161" spans="1:8" x14ac:dyDescent="0.3">
      <c r="A3161">
        <v>3</v>
      </c>
      <c r="B3161">
        <v>1</v>
      </c>
      <c r="C3161">
        <v>1</v>
      </c>
      <c r="D3161">
        <v>1</v>
      </c>
      <c r="E3161" t="s">
        <v>14</v>
      </c>
      <c r="F3161">
        <v>2</v>
      </c>
      <c r="G3161">
        <v>1</v>
      </c>
      <c r="H3161">
        <v>0</v>
      </c>
    </row>
    <row r="3162" spans="1:8" x14ac:dyDescent="0.3">
      <c r="A3162">
        <v>3</v>
      </c>
      <c r="B3162">
        <v>1</v>
      </c>
      <c r="C3162">
        <v>0</v>
      </c>
      <c r="D3162">
        <v>2</v>
      </c>
      <c r="E3162" t="s">
        <v>14</v>
      </c>
      <c r="F3162">
        <v>0</v>
      </c>
      <c r="G3162">
        <v>2</v>
      </c>
      <c r="H3162">
        <v>1</v>
      </c>
    </row>
    <row r="3163" spans="1:8" x14ac:dyDescent="0.3">
      <c r="A3163">
        <v>3</v>
      </c>
      <c r="B3163">
        <v>1</v>
      </c>
      <c r="C3163">
        <v>0</v>
      </c>
      <c r="D3163">
        <v>2</v>
      </c>
      <c r="E3163" t="s">
        <v>14</v>
      </c>
      <c r="F3163">
        <v>2</v>
      </c>
      <c r="G3163">
        <v>1</v>
      </c>
      <c r="H3163">
        <v>0</v>
      </c>
    </row>
    <row r="3164" spans="1:8" x14ac:dyDescent="0.3">
      <c r="A3164">
        <v>3</v>
      </c>
      <c r="B3164">
        <v>1</v>
      </c>
      <c r="C3164">
        <v>1</v>
      </c>
      <c r="D3164">
        <v>1</v>
      </c>
      <c r="E3164" t="s">
        <v>14</v>
      </c>
      <c r="F3164">
        <v>2</v>
      </c>
      <c r="G3164">
        <v>1</v>
      </c>
      <c r="H3164">
        <v>0</v>
      </c>
    </row>
    <row r="3165" spans="1:8" x14ac:dyDescent="0.3">
      <c r="A3165">
        <v>3</v>
      </c>
      <c r="B3165">
        <v>1</v>
      </c>
      <c r="C3165">
        <v>1</v>
      </c>
      <c r="D3165">
        <v>1</v>
      </c>
      <c r="E3165" t="s">
        <v>14</v>
      </c>
      <c r="F3165">
        <v>1</v>
      </c>
      <c r="G3165">
        <v>0</v>
      </c>
      <c r="H3165">
        <v>2</v>
      </c>
    </row>
    <row r="3166" spans="1:8" x14ac:dyDescent="0.3">
      <c r="A3166">
        <v>3</v>
      </c>
      <c r="B3166">
        <v>1</v>
      </c>
      <c r="C3166">
        <v>1</v>
      </c>
      <c r="D3166">
        <v>1</v>
      </c>
      <c r="E3166" t="s">
        <v>14</v>
      </c>
      <c r="F3166">
        <v>1</v>
      </c>
      <c r="G3166">
        <v>1</v>
      </c>
      <c r="H3166">
        <v>1</v>
      </c>
    </row>
    <row r="3167" spans="1:8" x14ac:dyDescent="0.3">
      <c r="A3167">
        <v>3</v>
      </c>
      <c r="B3167">
        <v>1</v>
      </c>
      <c r="C3167">
        <v>1</v>
      </c>
      <c r="D3167">
        <v>1</v>
      </c>
      <c r="E3167" t="s">
        <v>14</v>
      </c>
      <c r="F3167">
        <v>1</v>
      </c>
      <c r="G3167">
        <v>1</v>
      </c>
      <c r="H3167">
        <v>1</v>
      </c>
    </row>
    <row r="3168" spans="1:8" x14ac:dyDescent="0.3">
      <c r="A3168">
        <v>3</v>
      </c>
      <c r="B3168">
        <v>1</v>
      </c>
      <c r="C3168">
        <v>1</v>
      </c>
      <c r="D3168">
        <v>1</v>
      </c>
      <c r="E3168" t="s">
        <v>14</v>
      </c>
      <c r="F3168">
        <v>1</v>
      </c>
      <c r="G3168">
        <v>1</v>
      </c>
      <c r="H3168">
        <v>1</v>
      </c>
    </row>
    <row r="3169" spans="1:8" x14ac:dyDescent="0.3">
      <c r="A3169">
        <v>3</v>
      </c>
      <c r="B3169">
        <v>1</v>
      </c>
      <c r="C3169">
        <v>1</v>
      </c>
      <c r="D3169">
        <v>1</v>
      </c>
      <c r="E3169" t="s">
        <v>14</v>
      </c>
      <c r="F3169">
        <v>1</v>
      </c>
      <c r="G3169">
        <v>1</v>
      </c>
      <c r="H3169">
        <v>1</v>
      </c>
    </row>
    <row r="3170" spans="1:8" x14ac:dyDescent="0.3">
      <c r="A3170">
        <v>3</v>
      </c>
      <c r="B3170">
        <v>1</v>
      </c>
      <c r="C3170">
        <v>1</v>
      </c>
      <c r="D3170">
        <v>1</v>
      </c>
      <c r="E3170" t="s">
        <v>14</v>
      </c>
      <c r="F3170">
        <v>2</v>
      </c>
      <c r="G3170">
        <v>1</v>
      </c>
      <c r="H3170">
        <v>0</v>
      </c>
    </row>
    <row r="3171" spans="1:8" x14ac:dyDescent="0.3">
      <c r="A3171">
        <v>3</v>
      </c>
      <c r="B3171">
        <v>1</v>
      </c>
      <c r="C3171">
        <v>1</v>
      </c>
      <c r="D3171">
        <v>1</v>
      </c>
      <c r="E3171" t="s">
        <v>14</v>
      </c>
      <c r="F3171">
        <v>1</v>
      </c>
      <c r="G3171">
        <v>1</v>
      </c>
      <c r="H3171">
        <v>1</v>
      </c>
    </row>
    <row r="3172" spans="1:8" x14ac:dyDescent="0.3">
      <c r="A3172">
        <v>3</v>
      </c>
      <c r="B3172">
        <v>1</v>
      </c>
      <c r="C3172">
        <v>1</v>
      </c>
      <c r="D3172">
        <v>1</v>
      </c>
      <c r="E3172" t="s">
        <v>14</v>
      </c>
      <c r="F3172">
        <v>1</v>
      </c>
      <c r="G3172">
        <v>1</v>
      </c>
      <c r="H3172">
        <v>1</v>
      </c>
    </row>
    <row r="3173" spans="1:8" x14ac:dyDescent="0.3">
      <c r="A3173">
        <v>3</v>
      </c>
      <c r="B3173">
        <v>0</v>
      </c>
      <c r="C3173">
        <v>2</v>
      </c>
      <c r="D3173">
        <v>1</v>
      </c>
      <c r="E3173" t="s">
        <v>14</v>
      </c>
      <c r="F3173">
        <v>0</v>
      </c>
      <c r="G3173">
        <v>2</v>
      </c>
      <c r="H3173">
        <v>1</v>
      </c>
    </row>
    <row r="3174" spans="1:8" x14ac:dyDescent="0.3">
      <c r="A3174">
        <v>3</v>
      </c>
      <c r="B3174">
        <v>1</v>
      </c>
      <c r="C3174">
        <v>1</v>
      </c>
      <c r="D3174">
        <v>1</v>
      </c>
      <c r="E3174" t="s">
        <v>14</v>
      </c>
      <c r="F3174">
        <v>0</v>
      </c>
      <c r="G3174">
        <v>2</v>
      </c>
      <c r="H3174">
        <v>1</v>
      </c>
    </row>
    <row r="3175" spans="1:8" x14ac:dyDescent="0.3">
      <c r="A3175">
        <v>3</v>
      </c>
      <c r="B3175">
        <v>1</v>
      </c>
      <c r="C3175">
        <v>1</v>
      </c>
      <c r="D3175">
        <v>1</v>
      </c>
      <c r="E3175" t="s">
        <v>14</v>
      </c>
      <c r="F3175">
        <v>1</v>
      </c>
      <c r="G3175">
        <v>0</v>
      </c>
      <c r="H3175">
        <v>2</v>
      </c>
    </row>
    <row r="3176" spans="1:8" x14ac:dyDescent="0.3">
      <c r="A3176">
        <v>3</v>
      </c>
      <c r="B3176">
        <v>1</v>
      </c>
      <c r="C3176">
        <v>1</v>
      </c>
      <c r="D3176">
        <v>1</v>
      </c>
      <c r="E3176" t="s">
        <v>14</v>
      </c>
      <c r="F3176">
        <v>1</v>
      </c>
      <c r="G3176">
        <v>1</v>
      </c>
      <c r="H3176">
        <v>1</v>
      </c>
    </row>
    <row r="3177" spans="1:8" x14ac:dyDescent="0.3">
      <c r="A3177">
        <v>3</v>
      </c>
      <c r="B3177">
        <v>1</v>
      </c>
      <c r="C3177">
        <v>1</v>
      </c>
      <c r="D3177">
        <v>1</v>
      </c>
      <c r="E3177" t="s">
        <v>14</v>
      </c>
      <c r="F3177">
        <v>1</v>
      </c>
      <c r="G3177">
        <v>1</v>
      </c>
      <c r="H3177">
        <v>1</v>
      </c>
    </row>
    <row r="3178" spans="1:8" x14ac:dyDescent="0.3">
      <c r="A3178">
        <v>3</v>
      </c>
      <c r="B3178">
        <v>1</v>
      </c>
      <c r="C3178">
        <v>0</v>
      </c>
      <c r="D3178">
        <v>2</v>
      </c>
      <c r="E3178" t="s">
        <v>14</v>
      </c>
      <c r="F3178">
        <v>1</v>
      </c>
      <c r="G3178">
        <v>0</v>
      </c>
      <c r="H3178">
        <v>2</v>
      </c>
    </row>
    <row r="3179" spans="1:8" x14ac:dyDescent="0.3">
      <c r="A3179">
        <v>3</v>
      </c>
      <c r="B3179">
        <v>1</v>
      </c>
      <c r="C3179">
        <v>0</v>
      </c>
      <c r="D3179">
        <v>2</v>
      </c>
      <c r="E3179" t="s">
        <v>14</v>
      </c>
      <c r="F3179">
        <v>1</v>
      </c>
      <c r="G3179">
        <v>0</v>
      </c>
      <c r="H3179">
        <v>2</v>
      </c>
    </row>
    <row r="3180" spans="1:8" x14ac:dyDescent="0.3">
      <c r="A3180">
        <v>3</v>
      </c>
      <c r="B3180">
        <v>1</v>
      </c>
      <c r="C3180">
        <v>1</v>
      </c>
      <c r="D3180">
        <v>1</v>
      </c>
      <c r="E3180" t="s">
        <v>14</v>
      </c>
      <c r="F3180">
        <v>2</v>
      </c>
      <c r="G3180">
        <v>1</v>
      </c>
      <c r="H3180">
        <v>0</v>
      </c>
    </row>
    <row r="3181" spans="1:8" x14ac:dyDescent="0.3">
      <c r="A3181">
        <v>3</v>
      </c>
      <c r="B3181">
        <v>1</v>
      </c>
      <c r="C3181">
        <v>1</v>
      </c>
      <c r="D3181">
        <v>1</v>
      </c>
      <c r="E3181" t="s">
        <v>14</v>
      </c>
      <c r="F3181">
        <v>2</v>
      </c>
      <c r="G3181">
        <v>1</v>
      </c>
      <c r="H3181">
        <v>0</v>
      </c>
    </row>
    <row r="3182" spans="1:8" x14ac:dyDescent="0.3">
      <c r="A3182">
        <v>3</v>
      </c>
      <c r="B3182">
        <v>1</v>
      </c>
      <c r="C3182">
        <v>1</v>
      </c>
      <c r="D3182">
        <v>1</v>
      </c>
      <c r="E3182" t="s">
        <v>14</v>
      </c>
      <c r="F3182">
        <v>1</v>
      </c>
      <c r="G3182">
        <v>1</v>
      </c>
      <c r="H3182">
        <v>1</v>
      </c>
    </row>
    <row r="3183" spans="1:8" x14ac:dyDescent="0.3">
      <c r="A3183">
        <v>3</v>
      </c>
      <c r="B3183">
        <v>1</v>
      </c>
      <c r="C3183">
        <v>0</v>
      </c>
      <c r="D3183">
        <v>2</v>
      </c>
      <c r="E3183" t="s">
        <v>14</v>
      </c>
      <c r="F3183">
        <v>1</v>
      </c>
      <c r="G3183">
        <v>0</v>
      </c>
      <c r="H3183">
        <v>2</v>
      </c>
    </row>
    <row r="3184" spans="1:8" x14ac:dyDescent="0.3">
      <c r="A3184">
        <v>3</v>
      </c>
      <c r="B3184">
        <v>1</v>
      </c>
      <c r="C3184">
        <v>0</v>
      </c>
      <c r="D3184">
        <v>2</v>
      </c>
      <c r="E3184" t="s">
        <v>14</v>
      </c>
      <c r="F3184">
        <v>1</v>
      </c>
      <c r="G3184">
        <v>0</v>
      </c>
      <c r="H3184">
        <v>2</v>
      </c>
    </row>
    <row r="3185" spans="1:8" x14ac:dyDescent="0.3">
      <c r="A3185">
        <v>3</v>
      </c>
      <c r="B3185">
        <v>1</v>
      </c>
      <c r="C3185">
        <v>1</v>
      </c>
      <c r="D3185">
        <v>1</v>
      </c>
      <c r="E3185" t="s">
        <v>14</v>
      </c>
      <c r="F3185">
        <v>1</v>
      </c>
      <c r="G3185">
        <v>1</v>
      </c>
      <c r="H3185">
        <v>1</v>
      </c>
    </row>
    <row r="3186" spans="1:8" x14ac:dyDescent="0.3">
      <c r="A3186">
        <v>3</v>
      </c>
      <c r="B3186">
        <v>0</v>
      </c>
      <c r="C3186">
        <v>2</v>
      </c>
      <c r="D3186">
        <v>1</v>
      </c>
      <c r="E3186" t="s">
        <v>14</v>
      </c>
      <c r="F3186">
        <v>0</v>
      </c>
      <c r="G3186">
        <v>2</v>
      </c>
      <c r="H3186">
        <v>1</v>
      </c>
    </row>
    <row r="3187" spans="1:8" x14ac:dyDescent="0.3">
      <c r="A3187">
        <v>3</v>
      </c>
      <c r="B3187">
        <v>1</v>
      </c>
      <c r="C3187">
        <v>0</v>
      </c>
      <c r="D3187">
        <v>2</v>
      </c>
      <c r="E3187" t="s">
        <v>14</v>
      </c>
      <c r="F3187">
        <v>2</v>
      </c>
      <c r="G3187">
        <v>1</v>
      </c>
      <c r="H3187">
        <v>0</v>
      </c>
    </row>
    <row r="3188" spans="1:8" x14ac:dyDescent="0.3">
      <c r="A3188">
        <v>3</v>
      </c>
      <c r="B3188">
        <v>1</v>
      </c>
      <c r="C3188">
        <v>1</v>
      </c>
      <c r="D3188">
        <v>1</v>
      </c>
      <c r="E3188" t="s">
        <v>14</v>
      </c>
      <c r="F3188">
        <v>1</v>
      </c>
      <c r="G3188">
        <v>1</v>
      </c>
      <c r="H3188">
        <v>1</v>
      </c>
    </row>
    <row r="3189" spans="1:8" x14ac:dyDescent="0.3">
      <c r="A3189">
        <v>3</v>
      </c>
      <c r="B3189">
        <v>1</v>
      </c>
      <c r="C3189">
        <v>1</v>
      </c>
      <c r="D3189">
        <v>1</v>
      </c>
      <c r="E3189" t="s">
        <v>14</v>
      </c>
      <c r="F3189">
        <v>1</v>
      </c>
      <c r="G3189">
        <v>1</v>
      </c>
      <c r="H3189">
        <v>1</v>
      </c>
    </row>
    <row r="3190" spans="1:8" x14ac:dyDescent="0.3">
      <c r="A3190">
        <v>3</v>
      </c>
      <c r="B3190">
        <v>1</v>
      </c>
      <c r="C3190">
        <v>1</v>
      </c>
      <c r="D3190">
        <v>1</v>
      </c>
      <c r="E3190" t="s">
        <v>14</v>
      </c>
      <c r="F3190">
        <v>1</v>
      </c>
      <c r="G3190">
        <v>0</v>
      </c>
      <c r="H3190">
        <v>2</v>
      </c>
    </row>
    <row r="3191" spans="1:8" x14ac:dyDescent="0.3">
      <c r="A3191">
        <v>3</v>
      </c>
      <c r="B3191">
        <v>1</v>
      </c>
      <c r="C3191">
        <v>0</v>
      </c>
      <c r="D3191">
        <v>2</v>
      </c>
      <c r="E3191" t="s">
        <v>14</v>
      </c>
      <c r="F3191">
        <v>2</v>
      </c>
      <c r="G3191">
        <v>1</v>
      </c>
      <c r="H3191">
        <v>0</v>
      </c>
    </row>
    <row r="3192" spans="1:8" x14ac:dyDescent="0.3">
      <c r="A3192">
        <v>3</v>
      </c>
      <c r="B3192">
        <v>1</v>
      </c>
      <c r="C3192">
        <v>1</v>
      </c>
      <c r="D3192">
        <v>1</v>
      </c>
      <c r="E3192" t="s">
        <v>14</v>
      </c>
      <c r="F3192">
        <v>1</v>
      </c>
      <c r="G3192">
        <v>1</v>
      </c>
      <c r="H3192">
        <v>1</v>
      </c>
    </row>
    <row r="3193" spans="1:8" x14ac:dyDescent="0.3">
      <c r="A3193">
        <v>3</v>
      </c>
      <c r="B3193">
        <v>2</v>
      </c>
      <c r="C3193">
        <v>1</v>
      </c>
      <c r="D3193">
        <v>0</v>
      </c>
      <c r="E3193" t="s">
        <v>14</v>
      </c>
      <c r="F3193">
        <v>2</v>
      </c>
      <c r="G3193">
        <v>1</v>
      </c>
      <c r="H3193">
        <v>0</v>
      </c>
    </row>
    <row r="3194" spans="1:8" x14ac:dyDescent="0.3">
      <c r="A3194">
        <v>3</v>
      </c>
      <c r="B3194">
        <v>2</v>
      </c>
      <c r="C3194">
        <v>1</v>
      </c>
      <c r="D3194">
        <v>0</v>
      </c>
      <c r="E3194" t="s">
        <v>14</v>
      </c>
      <c r="F3194">
        <v>2</v>
      </c>
      <c r="G3194">
        <v>1</v>
      </c>
      <c r="H3194">
        <v>0</v>
      </c>
    </row>
    <row r="3195" spans="1:8" x14ac:dyDescent="0.3">
      <c r="A3195">
        <v>4</v>
      </c>
      <c r="B3195">
        <v>1</v>
      </c>
      <c r="C3195">
        <v>2</v>
      </c>
      <c r="D3195">
        <v>1</v>
      </c>
      <c r="E3195" t="s">
        <v>14</v>
      </c>
      <c r="F3195">
        <v>1</v>
      </c>
      <c r="G3195">
        <v>2</v>
      </c>
      <c r="H3195">
        <v>1</v>
      </c>
    </row>
    <row r="3196" spans="1:8" x14ac:dyDescent="0.3">
      <c r="A3196">
        <v>4</v>
      </c>
      <c r="B3196">
        <v>2</v>
      </c>
      <c r="C3196">
        <v>1</v>
      </c>
      <c r="D3196">
        <v>1</v>
      </c>
      <c r="E3196" t="s">
        <v>14</v>
      </c>
      <c r="F3196">
        <v>2</v>
      </c>
      <c r="G3196">
        <v>2</v>
      </c>
      <c r="H3196">
        <v>0</v>
      </c>
    </row>
    <row r="3197" spans="1:8" x14ac:dyDescent="0.3">
      <c r="A3197">
        <v>4</v>
      </c>
      <c r="B3197">
        <v>1</v>
      </c>
      <c r="C3197">
        <v>2</v>
      </c>
      <c r="D3197">
        <v>1</v>
      </c>
      <c r="E3197" t="s">
        <v>14</v>
      </c>
      <c r="F3197">
        <v>1</v>
      </c>
      <c r="G3197">
        <v>2</v>
      </c>
      <c r="H3197">
        <v>1</v>
      </c>
    </row>
    <row r="3198" spans="1:8" x14ac:dyDescent="0.3">
      <c r="A3198">
        <v>4</v>
      </c>
      <c r="B3198">
        <v>2</v>
      </c>
      <c r="C3198">
        <v>1</v>
      </c>
      <c r="D3198">
        <v>1</v>
      </c>
      <c r="E3198" t="s">
        <v>14</v>
      </c>
      <c r="F3198">
        <v>2</v>
      </c>
      <c r="G3198">
        <v>1</v>
      </c>
      <c r="H3198">
        <v>1</v>
      </c>
    </row>
    <row r="3199" spans="1:8" x14ac:dyDescent="0.3">
      <c r="A3199">
        <v>4</v>
      </c>
      <c r="B3199">
        <v>1</v>
      </c>
      <c r="C3199">
        <v>1</v>
      </c>
      <c r="D3199">
        <v>2</v>
      </c>
      <c r="E3199" t="s">
        <v>14</v>
      </c>
      <c r="F3199">
        <v>1</v>
      </c>
      <c r="G3199">
        <v>1</v>
      </c>
      <c r="H3199">
        <v>2</v>
      </c>
    </row>
    <row r="3200" spans="1:8" x14ac:dyDescent="0.3">
      <c r="A3200">
        <v>4</v>
      </c>
      <c r="B3200">
        <v>1</v>
      </c>
      <c r="C3200">
        <v>1</v>
      </c>
      <c r="D3200">
        <v>2</v>
      </c>
      <c r="E3200" t="s">
        <v>14</v>
      </c>
      <c r="F3200">
        <v>1</v>
      </c>
      <c r="G3200">
        <v>1</v>
      </c>
      <c r="H3200">
        <v>2</v>
      </c>
    </row>
    <row r="3201" spans="1:8" x14ac:dyDescent="0.3">
      <c r="A3201">
        <v>4</v>
      </c>
      <c r="B3201">
        <v>1</v>
      </c>
      <c r="C3201">
        <v>2</v>
      </c>
      <c r="D3201">
        <v>1</v>
      </c>
      <c r="E3201" t="s">
        <v>14</v>
      </c>
      <c r="F3201">
        <v>1</v>
      </c>
      <c r="G3201">
        <v>2</v>
      </c>
      <c r="H3201">
        <v>1</v>
      </c>
    </row>
    <row r="3202" spans="1:8" x14ac:dyDescent="0.3">
      <c r="A3202">
        <v>4</v>
      </c>
      <c r="B3202">
        <v>2</v>
      </c>
      <c r="C3202">
        <v>1</v>
      </c>
      <c r="D3202">
        <v>1</v>
      </c>
      <c r="E3202" t="s">
        <v>14</v>
      </c>
      <c r="F3202">
        <v>2</v>
      </c>
      <c r="G3202">
        <v>1</v>
      </c>
      <c r="H3202">
        <v>1</v>
      </c>
    </row>
    <row r="3203" spans="1:8" x14ac:dyDescent="0.3">
      <c r="A3203">
        <v>4</v>
      </c>
      <c r="B3203">
        <v>1</v>
      </c>
      <c r="C3203">
        <v>2</v>
      </c>
      <c r="D3203">
        <v>1</v>
      </c>
      <c r="E3203" t="s">
        <v>14</v>
      </c>
      <c r="F3203">
        <v>1</v>
      </c>
      <c r="G3203">
        <v>2</v>
      </c>
      <c r="H3203">
        <v>1</v>
      </c>
    </row>
    <row r="3204" spans="1:8" x14ac:dyDescent="0.3">
      <c r="A3204">
        <v>4</v>
      </c>
      <c r="B3204">
        <v>1</v>
      </c>
      <c r="C3204">
        <v>1</v>
      </c>
      <c r="D3204">
        <v>2</v>
      </c>
      <c r="E3204" t="s">
        <v>14</v>
      </c>
      <c r="F3204">
        <v>0</v>
      </c>
      <c r="G3204">
        <v>2</v>
      </c>
      <c r="H3204">
        <v>2</v>
      </c>
    </row>
    <row r="3205" spans="1:8" x14ac:dyDescent="0.3">
      <c r="A3205">
        <v>4</v>
      </c>
      <c r="B3205">
        <v>1</v>
      </c>
      <c r="C3205">
        <v>2</v>
      </c>
      <c r="D3205">
        <v>1</v>
      </c>
      <c r="E3205" t="s">
        <v>14</v>
      </c>
      <c r="F3205">
        <v>1</v>
      </c>
      <c r="G3205">
        <v>2</v>
      </c>
      <c r="H3205">
        <v>1</v>
      </c>
    </row>
    <row r="3206" spans="1:8" x14ac:dyDescent="0.3">
      <c r="A3206">
        <v>4</v>
      </c>
      <c r="B3206">
        <v>2</v>
      </c>
      <c r="C3206">
        <v>1</v>
      </c>
      <c r="D3206">
        <v>1</v>
      </c>
      <c r="E3206" t="s">
        <v>14</v>
      </c>
      <c r="F3206">
        <v>2</v>
      </c>
      <c r="G3206">
        <v>1</v>
      </c>
      <c r="H3206">
        <v>1</v>
      </c>
    </row>
    <row r="3207" spans="1:8" x14ac:dyDescent="0.3">
      <c r="A3207">
        <v>4</v>
      </c>
      <c r="B3207">
        <v>1</v>
      </c>
      <c r="C3207">
        <v>1</v>
      </c>
      <c r="D3207">
        <v>2</v>
      </c>
      <c r="E3207" t="s">
        <v>14</v>
      </c>
      <c r="F3207">
        <v>2</v>
      </c>
      <c r="G3207">
        <v>0</v>
      </c>
      <c r="H3207">
        <v>2</v>
      </c>
    </row>
    <row r="3208" spans="1:8" x14ac:dyDescent="0.3">
      <c r="A3208">
        <v>4</v>
      </c>
      <c r="B3208">
        <v>1</v>
      </c>
      <c r="C3208">
        <v>1</v>
      </c>
      <c r="D3208">
        <v>2</v>
      </c>
      <c r="E3208" t="s">
        <v>14</v>
      </c>
      <c r="F3208">
        <v>1</v>
      </c>
      <c r="G3208">
        <v>1</v>
      </c>
      <c r="H3208">
        <v>2</v>
      </c>
    </row>
    <row r="3209" spans="1:8" x14ac:dyDescent="0.3">
      <c r="A3209">
        <v>5</v>
      </c>
      <c r="B3209">
        <v>1</v>
      </c>
      <c r="C3209">
        <v>2</v>
      </c>
      <c r="D3209">
        <v>2</v>
      </c>
      <c r="E3209" t="s">
        <v>14</v>
      </c>
      <c r="F3209">
        <v>0</v>
      </c>
      <c r="G3209">
        <v>2</v>
      </c>
      <c r="H3209">
        <v>3</v>
      </c>
    </row>
    <row r="3210" spans="1:8" x14ac:dyDescent="0.3">
      <c r="A3210">
        <v>5</v>
      </c>
      <c r="B3210">
        <v>2</v>
      </c>
      <c r="C3210">
        <v>2</v>
      </c>
      <c r="D3210">
        <v>1</v>
      </c>
      <c r="E3210" t="s">
        <v>14</v>
      </c>
      <c r="F3210">
        <v>3</v>
      </c>
      <c r="G3210">
        <v>0</v>
      </c>
      <c r="H3210">
        <v>2</v>
      </c>
    </row>
    <row r="3211" spans="1:8" x14ac:dyDescent="0.3">
      <c r="A3211">
        <v>5</v>
      </c>
      <c r="B3211">
        <v>2</v>
      </c>
      <c r="C3211">
        <v>1</v>
      </c>
      <c r="D3211">
        <v>2</v>
      </c>
      <c r="E3211" t="s">
        <v>14</v>
      </c>
      <c r="F3211">
        <v>2</v>
      </c>
      <c r="G3211">
        <v>1</v>
      </c>
      <c r="H3211">
        <v>2</v>
      </c>
    </row>
    <row r="3212" spans="1:8" x14ac:dyDescent="0.3">
      <c r="A3212">
        <v>6</v>
      </c>
      <c r="B3212">
        <v>3</v>
      </c>
      <c r="C3212">
        <v>1</v>
      </c>
      <c r="D3212">
        <v>2</v>
      </c>
      <c r="E3212" t="s">
        <v>14</v>
      </c>
      <c r="F3212">
        <v>3</v>
      </c>
      <c r="G3212">
        <v>1</v>
      </c>
      <c r="H3212">
        <v>2</v>
      </c>
    </row>
    <row r="3213" spans="1:8" x14ac:dyDescent="0.3">
      <c r="A3213">
        <v>6</v>
      </c>
      <c r="B3213">
        <v>2</v>
      </c>
      <c r="C3213">
        <v>2</v>
      </c>
      <c r="D3213">
        <v>2</v>
      </c>
      <c r="E3213" t="s">
        <v>14</v>
      </c>
      <c r="F3213">
        <v>2</v>
      </c>
      <c r="G3213">
        <v>2</v>
      </c>
      <c r="H3213">
        <v>2</v>
      </c>
    </row>
    <row r="3214" spans="1:8" x14ac:dyDescent="0.3">
      <c r="A3214">
        <v>6</v>
      </c>
      <c r="B3214">
        <v>1</v>
      </c>
      <c r="C3214">
        <v>2</v>
      </c>
      <c r="D3214">
        <v>3</v>
      </c>
      <c r="E3214" t="s">
        <v>14</v>
      </c>
      <c r="F3214">
        <v>1</v>
      </c>
      <c r="G3214">
        <v>2</v>
      </c>
      <c r="H3214">
        <v>3</v>
      </c>
    </row>
    <row r="3215" spans="1:8" x14ac:dyDescent="0.3">
      <c r="A3215">
        <v>7</v>
      </c>
      <c r="B3215">
        <v>2</v>
      </c>
      <c r="C3215">
        <v>3</v>
      </c>
      <c r="D3215">
        <v>2</v>
      </c>
      <c r="E3215" t="s">
        <v>14</v>
      </c>
      <c r="F3215">
        <v>2</v>
      </c>
      <c r="G3215">
        <v>3</v>
      </c>
      <c r="H3215">
        <v>2</v>
      </c>
    </row>
    <row r="3216" spans="1:8" x14ac:dyDescent="0.3">
      <c r="A3216">
        <v>7</v>
      </c>
      <c r="B3216">
        <v>2</v>
      </c>
      <c r="C3216">
        <v>2</v>
      </c>
      <c r="D3216">
        <v>3</v>
      </c>
      <c r="E3216" t="s">
        <v>14</v>
      </c>
      <c r="F3216">
        <v>2</v>
      </c>
      <c r="G3216">
        <v>2</v>
      </c>
      <c r="H3216">
        <v>3</v>
      </c>
    </row>
    <row r="3217" spans="1:8" x14ac:dyDescent="0.3">
      <c r="A3217">
        <v>7</v>
      </c>
      <c r="B3217">
        <v>2</v>
      </c>
      <c r="C3217">
        <v>3</v>
      </c>
      <c r="D3217">
        <v>2</v>
      </c>
      <c r="E3217" t="s">
        <v>14</v>
      </c>
      <c r="F3217">
        <v>2</v>
      </c>
      <c r="G3217">
        <v>3</v>
      </c>
      <c r="H3217">
        <v>2</v>
      </c>
    </row>
    <row r="3218" spans="1:8" x14ac:dyDescent="0.3">
      <c r="A3218">
        <v>7</v>
      </c>
      <c r="B3218">
        <v>2</v>
      </c>
      <c r="C3218">
        <v>3</v>
      </c>
      <c r="D3218">
        <v>2</v>
      </c>
      <c r="E3218" t="s">
        <v>14</v>
      </c>
      <c r="F3218">
        <v>2</v>
      </c>
      <c r="G3218">
        <v>3</v>
      </c>
      <c r="H3218">
        <v>2</v>
      </c>
    </row>
    <row r="3219" spans="1:8" x14ac:dyDescent="0.3">
      <c r="A3219">
        <v>7</v>
      </c>
      <c r="B3219">
        <v>3</v>
      </c>
      <c r="C3219">
        <v>2</v>
      </c>
      <c r="D3219">
        <v>2</v>
      </c>
      <c r="E3219" t="s">
        <v>14</v>
      </c>
      <c r="F3219">
        <v>3</v>
      </c>
      <c r="G3219">
        <v>2</v>
      </c>
      <c r="H3219">
        <v>2</v>
      </c>
    </row>
    <row r="3220" spans="1:8" x14ac:dyDescent="0.3">
      <c r="A3220">
        <v>8</v>
      </c>
      <c r="B3220">
        <v>3</v>
      </c>
      <c r="C3220">
        <v>2</v>
      </c>
      <c r="D3220">
        <v>3</v>
      </c>
      <c r="E3220" t="s">
        <v>14</v>
      </c>
      <c r="F3220">
        <v>3</v>
      </c>
      <c r="G3220">
        <v>2</v>
      </c>
      <c r="H3220">
        <v>3</v>
      </c>
    </row>
    <row r="3221" spans="1:8" x14ac:dyDescent="0.3">
      <c r="A3221">
        <v>2</v>
      </c>
      <c r="B3221">
        <v>0</v>
      </c>
      <c r="C3221">
        <v>1</v>
      </c>
      <c r="D3221">
        <v>1</v>
      </c>
      <c r="E3221" t="s">
        <v>14</v>
      </c>
      <c r="F3221">
        <v>0</v>
      </c>
      <c r="G3221">
        <v>2</v>
      </c>
      <c r="H3221">
        <v>0</v>
      </c>
    </row>
    <row r="3222" spans="1:8" x14ac:dyDescent="0.3">
      <c r="A3222">
        <v>2</v>
      </c>
      <c r="B3222">
        <v>0</v>
      </c>
      <c r="C3222">
        <v>1</v>
      </c>
      <c r="D3222">
        <v>1</v>
      </c>
      <c r="E3222" t="s">
        <v>14</v>
      </c>
      <c r="F3222">
        <v>2</v>
      </c>
      <c r="G3222">
        <v>0</v>
      </c>
      <c r="H3222">
        <v>0</v>
      </c>
    </row>
    <row r="3223" spans="1:8" x14ac:dyDescent="0.3">
      <c r="A3223">
        <v>2</v>
      </c>
      <c r="B3223">
        <v>1</v>
      </c>
      <c r="C3223">
        <v>0</v>
      </c>
      <c r="D3223">
        <v>1</v>
      </c>
      <c r="E3223" t="s">
        <v>14</v>
      </c>
      <c r="F3223">
        <v>2</v>
      </c>
      <c r="G3223">
        <v>0</v>
      </c>
      <c r="H3223">
        <v>0</v>
      </c>
    </row>
    <row r="3224" spans="1:8" x14ac:dyDescent="0.3">
      <c r="A3224">
        <v>2</v>
      </c>
      <c r="B3224">
        <v>1</v>
      </c>
      <c r="C3224">
        <v>1</v>
      </c>
      <c r="D3224">
        <v>0</v>
      </c>
      <c r="E3224" t="s">
        <v>14</v>
      </c>
      <c r="F3224">
        <v>1</v>
      </c>
      <c r="G3224">
        <v>1</v>
      </c>
      <c r="H3224">
        <v>0</v>
      </c>
    </row>
    <row r="3225" spans="1:8" x14ac:dyDescent="0.3">
      <c r="A3225">
        <v>2</v>
      </c>
      <c r="B3225">
        <v>1</v>
      </c>
      <c r="C3225">
        <v>0</v>
      </c>
      <c r="D3225">
        <v>1</v>
      </c>
      <c r="E3225" t="s">
        <v>14</v>
      </c>
      <c r="F3225">
        <v>1</v>
      </c>
      <c r="G3225">
        <v>0</v>
      </c>
      <c r="H3225">
        <v>1</v>
      </c>
    </row>
    <row r="3226" spans="1:8" x14ac:dyDescent="0.3">
      <c r="A3226">
        <v>2</v>
      </c>
      <c r="B3226">
        <v>0</v>
      </c>
      <c r="C3226">
        <v>1</v>
      </c>
      <c r="D3226">
        <v>1</v>
      </c>
      <c r="E3226" t="s">
        <v>14</v>
      </c>
      <c r="F3226">
        <v>0</v>
      </c>
      <c r="G3226">
        <v>1</v>
      </c>
      <c r="H3226">
        <v>1</v>
      </c>
    </row>
    <row r="3227" spans="1:8" x14ac:dyDescent="0.3">
      <c r="A3227">
        <v>2</v>
      </c>
      <c r="B3227">
        <v>0</v>
      </c>
      <c r="C3227">
        <v>1</v>
      </c>
      <c r="D3227">
        <v>1</v>
      </c>
      <c r="E3227" t="s">
        <v>14</v>
      </c>
      <c r="F3227">
        <v>2</v>
      </c>
      <c r="G3227">
        <v>0</v>
      </c>
      <c r="H3227">
        <v>0</v>
      </c>
    </row>
    <row r="3228" spans="1:8" x14ac:dyDescent="0.3">
      <c r="A3228">
        <v>2</v>
      </c>
      <c r="B3228">
        <v>0</v>
      </c>
      <c r="C3228">
        <v>1</v>
      </c>
      <c r="D3228">
        <v>1</v>
      </c>
      <c r="E3228" t="s">
        <v>14</v>
      </c>
      <c r="F3228">
        <v>0</v>
      </c>
      <c r="G3228">
        <v>1</v>
      </c>
      <c r="H3228">
        <v>1</v>
      </c>
    </row>
    <row r="3229" spans="1:8" x14ac:dyDescent="0.3">
      <c r="A3229">
        <v>3</v>
      </c>
      <c r="B3229">
        <v>1</v>
      </c>
      <c r="C3229">
        <v>1</v>
      </c>
      <c r="D3229">
        <v>1</v>
      </c>
      <c r="E3229" t="s">
        <v>14</v>
      </c>
      <c r="F3229">
        <v>2</v>
      </c>
      <c r="G3229">
        <v>1</v>
      </c>
      <c r="H3229">
        <v>0</v>
      </c>
    </row>
    <row r="3230" spans="1:8" x14ac:dyDescent="0.3">
      <c r="A3230">
        <v>3</v>
      </c>
      <c r="B3230">
        <v>2</v>
      </c>
      <c r="C3230">
        <v>1</v>
      </c>
      <c r="D3230">
        <v>0</v>
      </c>
      <c r="E3230" t="s">
        <v>14</v>
      </c>
      <c r="F3230">
        <v>2</v>
      </c>
      <c r="G3230">
        <v>1</v>
      </c>
      <c r="H3230">
        <v>0</v>
      </c>
    </row>
    <row r="3231" spans="1:8" x14ac:dyDescent="0.3">
      <c r="A3231">
        <v>3</v>
      </c>
      <c r="B3231">
        <v>1</v>
      </c>
      <c r="C3231">
        <v>1</v>
      </c>
      <c r="D3231">
        <v>1</v>
      </c>
      <c r="E3231" t="s">
        <v>14</v>
      </c>
      <c r="F3231">
        <v>1</v>
      </c>
      <c r="G3231">
        <v>0</v>
      </c>
      <c r="H3231">
        <v>2</v>
      </c>
    </row>
    <row r="3232" spans="1:8" x14ac:dyDescent="0.3">
      <c r="A3232">
        <v>3</v>
      </c>
      <c r="B3232">
        <v>1</v>
      </c>
      <c r="C3232">
        <v>1</v>
      </c>
      <c r="D3232">
        <v>1</v>
      </c>
      <c r="E3232" t="s">
        <v>14</v>
      </c>
      <c r="F3232">
        <v>1</v>
      </c>
      <c r="G3232">
        <v>1</v>
      </c>
      <c r="H3232">
        <v>1</v>
      </c>
    </row>
    <row r="3233" spans="1:8" x14ac:dyDescent="0.3">
      <c r="A3233">
        <v>3</v>
      </c>
      <c r="B3233">
        <v>1</v>
      </c>
      <c r="C3233">
        <v>0</v>
      </c>
      <c r="D3233">
        <v>2</v>
      </c>
      <c r="E3233" t="s">
        <v>14</v>
      </c>
      <c r="F3233">
        <v>0</v>
      </c>
      <c r="G3233">
        <v>2</v>
      </c>
      <c r="H3233">
        <v>1</v>
      </c>
    </row>
    <row r="3234" spans="1:8" x14ac:dyDescent="0.3">
      <c r="A3234">
        <v>3</v>
      </c>
      <c r="B3234">
        <v>1</v>
      </c>
      <c r="C3234">
        <v>1</v>
      </c>
      <c r="D3234">
        <v>1</v>
      </c>
      <c r="E3234" t="s">
        <v>14</v>
      </c>
      <c r="F3234">
        <v>1</v>
      </c>
      <c r="G3234">
        <v>1</v>
      </c>
      <c r="H3234">
        <v>1</v>
      </c>
    </row>
    <row r="3235" spans="1:8" x14ac:dyDescent="0.3">
      <c r="A3235">
        <v>3</v>
      </c>
      <c r="B3235">
        <v>1</v>
      </c>
      <c r="C3235">
        <v>1</v>
      </c>
      <c r="D3235">
        <v>1</v>
      </c>
      <c r="E3235" t="s">
        <v>14</v>
      </c>
      <c r="F3235">
        <v>2</v>
      </c>
      <c r="G3235">
        <v>1</v>
      </c>
      <c r="H3235">
        <v>0</v>
      </c>
    </row>
    <row r="3236" spans="1:8" x14ac:dyDescent="0.3">
      <c r="A3236">
        <v>3</v>
      </c>
      <c r="B3236">
        <v>2</v>
      </c>
      <c r="C3236">
        <v>1</v>
      </c>
      <c r="D3236">
        <v>0</v>
      </c>
      <c r="E3236" t="s">
        <v>14</v>
      </c>
      <c r="F3236">
        <v>2</v>
      </c>
      <c r="G3236">
        <v>1</v>
      </c>
      <c r="H3236">
        <v>0</v>
      </c>
    </row>
    <row r="3237" spans="1:8" x14ac:dyDescent="0.3">
      <c r="A3237">
        <v>3</v>
      </c>
      <c r="B3237">
        <v>1</v>
      </c>
      <c r="C3237">
        <v>1</v>
      </c>
      <c r="D3237">
        <v>1</v>
      </c>
      <c r="E3237" t="s">
        <v>14</v>
      </c>
      <c r="F3237">
        <v>1</v>
      </c>
      <c r="G3237">
        <v>1</v>
      </c>
      <c r="H3237">
        <v>1</v>
      </c>
    </row>
    <row r="3238" spans="1:8" x14ac:dyDescent="0.3">
      <c r="A3238">
        <v>3</v>
      </c>
      <c r="B3238">
        <v>0</v>
      </c>
      <c r="C3238">
        <v>2</v>
      </c>
      <c r="D3238">
        <v>1</v>
      </c>
      <c r="E3238" t="s">
        <v>14</v>
      </c>
      <c r="F3238">
        <v>1</v>
      </c>
      <c r="G3238">
        <v>0</v>
      </c>
      <c r="H3238">
        <v>2</v>
      </c>
    </row>
    <row r="3239" spans="1:8" x14ac:dyDescent="0.3">
      <c r="A3239">
        <v>3</v>
      </c>
      <c r="B3239">
        <v>1</v>
      </c>
      <c r="C3239">
        <v>1</v>
      </c>
      <c r="D3239">
        <v>1</v>
      </c>
      <c r="E3239" t="s">
        <v>14</v>
      </c>
      <c r="F3239">
        <v>1</v>
      </c>
      <c r="G3239">
        <v>0</v>
      </c>
      <c r="H3239">
        <v>2</v>
      </c>
    </row>
    <row r="3240" spans="1:8" x14ac:dyDescent="0.3">
      <c r="A3240">
        <v>3</v>
      </c>
      <c r="B3240">
        <v>1</v>
      </c>
      <c r="C3240">
        <v>1</v>
      </c>
      <c r="D3240">
        <v>1</v>
      </c>
      <c r="E3240" t="s">
        <v>14</v>
      </c>
      <c r="F3240">
        <v>1</v>
      </c>
      <c r="G3240">
        <v>0</v>
      </c>
      <c r="H3240">
        <v>2</v>
      </c>
    </row>
    <row r="3241" spans="1:8" x14ac:dyDescent="0.3">
      <c r="A3241">
        <v>3</v>
      </c>
      <c r="B3241">
        <v>1</v>
      </c>
      <c r="C3241">
        <v>1</v>
      </c>
      <c r="D3241">
        <v>1</v>
      </c>
      <c r="E3241" t="s">
        <v>14</v>
      </c>
      <c r="F3241">
        <v>2</v>
      </c>
      <c r="G3241">
        <v>1</v>
      </c>
      <c r="H3241">
        <v>0</v>
      </c>
    </row>
    <row r="3242" spans="1:8" x14ac:dyDescent="0.3">
      <c r="A3242">
        <v>3</v>
      </c>
      <c r="B3242">
        <v>1</v>
      </c>
      <c r="C3242">
        <v>0</v>
      </c>
      <c r="D3242">
        <v>2</v>
      </c>
      <c r="E3242" t="s">
        <v>14</v>
      </c>
      <c r="F3242">
        <v>0</v>
      </c>
      <c r="G3242">
        <v>2</v>
      </c>
      <c r="H3242">
        <v>1</v>
      </c>
    </row>
    <row r="3243" spans="1:8" x14ac:dyDescent="0.3">
      <c r="A3243">
        <v>3</v>
      </c>
      <c r="B3243">
        <v>1</v>
      </c>
      <c r="C3243">
        <v>1</v>
      </c>
      <c r="D3243">
        <v>1</v>
      </c>
      <c r="E3243" t="s">
        <v>14</v>
      </c>
      <c r="F3243">
        <v>1</v>
      </c>
      <c r="G3243">
        <v>1</v>
      </c>
      <c r="H3243">
        <v>1</v>
      </c>
    </row>
    <row r="3244" spans="1:8" x14ac:dyDescent="0.3">
      <c r="A3244">
        <v>3</v>
      </c>
      <c r="B3244">
        <v>1</v>
      </c>
      <c r="C3244">
        <v>1</v>
      </c>
      <c r="D3244">
        <v>1</v>
      </c>
      <c r="E3244" t="s">
        <v>14</v>
      </c>
      <c r="F3244">
        <v>1</v>
      </c>
      <c r="G3244">
        <v>1</v>
      </c>
      <c r="H3244">
        <v>1</v>
      </c>
    </row>
    <row r="3245" spans="1:8" x14ac:dyDescent="0.3">
      <c r="A3245">
        <v>3</v>
      </c>
      <c r="B3245">
        <v>2</v>
      </c>
      <c r="C3245">
        <v>1</v>
      </c>
      <c r="D3245">
        <v>0</v>
      </c>
      <c r="E3245" t="s">
        <v>14</v>
      </c>
      <c r="F3245">
        <v>2</v>
      </c>
      <c r="G3245">
        <v>1</v>
      </c>
      <c r="H3245">
        <v>0</v>
      </c>
    </row>
    <row r="3246" spans="1:8" x14ac:dyDescent="0.3">
      <c r="A3246">
        <v>3</v>
      </c>
      <c r="B3246">
        <v>1</v>
      </c>
      <c r="C3246">
        <v>1</v>
      </c>
      <c r="D3246">
        <v>1</v>
      </c>
      <c r="E3246" t="s">
        <v>14</v>
      </c>
      <c r="F3246">
        <v>0</v>
      </c>
      <c r="G3246">
        <v>2</v>
      </c>
      <c r="H3246">
        <v>1</v>
      </c>
    </row>
    <row r="3247" spans="1:8" x14ac:dyDescent="0.3">
      <c r="A3247">
        <v>3</v>
      </c>
      <c r="B3247">
        <v>1</v>
      </c>
      <c r="C3247">
        <v>1</v>
      </c>
      <c r="D3247">
        <v>1</v>
      </c>
      <c r="E3247" t="s">
        <v>14</v>
      </c>
      <c r="F3247">
        <v>0</v>
      </c>
      <c r="G3247">
        <v>2</v>
      </c>
      <c r="H3247">
        <v>1</v>
      </c>
    </row>
    <row r="3248" spans="1:8" x14ac:dyDescent="0.3">
      <c r="A3248">
        <v>3</v>
      </c>
      <c r="B3248">
        <v>1</v>
      </c>
      <c r="C3248">
        <v>1</v>
      </c>
      <c r="D3248">
        <v>1</v>
      </c>
      <c r="E3248" t="s">
        <v>14</v>
      </c>
      <c r="F3248">
        <v>1</v>
      </c>
      <c r="G3248">
        <v>1</v>
      </c>
      <c r="H3248">
        <v>1</v>
      </c>
    </row>
    <row r="3249" spans="1:8" x14ac:dyDescent="0.3">
      <c r="A3249">
        <v>3</v>
      </c>
      <c r="B3249">
        <v>1</v>
      </c>
      <c r="C3249">
        <v>1</v>
      </c>
      <c r="D3249">
        <v>1</v>
      </c>
      <c r="E3249" t="s">
        <v>14</v>
      </c>
      <c r="F3249">
        <v>1</v>
      </c>
      <c r="G3249">
        <v>1</v>
      </c>
      <c r="H3249">
        <v>1</v>
      </c>
    </row>
    <row r="3250" spans="1:8" x14ac:dyDescent="0.3">
      <c r="A3250">
        <v>3</v>
      </c>
      <c r="B3250">
        <v>1</v>
      </c>
      <c r="C3250">
        <v>1</v>
      </c>
      <c r="D3250">
        <v>1</v>
      </c>
      <c r="E3250" t="s">
        <v>14</v>
      </c>
      <c r="F3250">
        <v>0</v>
      </c>
      <c r="G3250">
        <v>2</v>
      </c>
      <c r="H3250">
        <v>1</v>
      </c>
    </row>
    <row r="3251" spans="1:8" x14ac:dyDescent="0.3">
      <c r="A3251">
        <v>3</v>
      </c>
      <c r="B3251">
        <v>1</v>
      </c>
      <c r="C3251">
        <v>1</v>
      </c>
      <c r="D3251">
        <v>1</v>
      </c>
      <c r="E3251" t="s">
        <v>14</v>
      </c>
      <c r="F3251">
        <v>1</v>
      </c>
      <c r="G3251">
        <v>1</v>
      </c>
      <c r="H3251">
        <v>1</v>
      </c>
    </row>
    <row r="3252" spans="1:8" x14ac:dyDescent="0.3">
      <c r="A3252">
        <v>3</v>
      </c>
      <c r="B3252">
        <v>1</v>
      </c>
      <c r="C3252">
        <v>1</v>
      </c>
      <c r="D3252">
        <v>1</v>
      </c>
      <c r="E3252" t="s">
        <v>14</v>
      </c>
      <c r="F3252">
        <v>1</v>
      </c>
      <c r="G3252">
        <v>1</v>
      </c>
      <c r="H3252">
        <v>1</v>
      </c>
    </row>
    <row r="3253" spans="1:8" x14ac:dyDescent="0.3">
      <c r="A3253">
        <v>3</v>
      </c>
      <c r="B3253">
        <v>1</v>
      </c>
      <c r="C3253">
        <v>1</v>
      </c>
      <c r="D3253">
        <v>1</v>
      </c>
      <c r="E3253" t="s">
        <v>14</v>
      </c>
      <c r="F3253">
        <v>2</v>
      </c>
      <c r="G3253">
        <v>1</v>
      </c>
      <c r="H3253">
        <v>0</v>
      </c>
    </row>
    <row r="3254" spans="1:8" x14ac:dyDescent="0.3">
      <c r="A3254">
        <v>3</v>
      </c>
      <c r="B3254">
        <v>1</v>
      </c>
      <c r="C3254">
        <v>1</v>
      </c>
      <c r="D3254">
        <v>1</v>
      </c>
      <c r="E3254" t="s">
        <v>14</v>
      </c>
      <c r="F3254">
        <v>0</v>
      </c>
      <c r="G3254">
        <v>2</v>
      </c>
      <c r="H3254">
        <v>1</v>
      </c>
    </row>
    <row r="3255" spans="1:8" x14ac:dyDescent="0.3">
      <c r="A3255">
        <v>3</v>
      </c>
      <c r="B3255">
        <v>0</v>
      </c>
      <c r="C3255">
        <v>2</v>
      </c>
      <c r="D3255">
        <v>1</v>
      </c>
      <c r="E3255" t="s">
        <v>14</v>
      </c>
      <c r="F3255">
        <v>0</v>
      </c>
      <c r="G3255">
        <v>2</v>
      </c>
      <c r="H3255">
        <v>1</v>
      </c>
    </row>
    <row r="3256" spans="1:8" x14ac:dyDescent="0.3">
      <c r="A3256">
        <v>3</v>
      </c>
      <c r="B3256">
        <v>0</v>
      </c>
      <c r="C3256">
        <v>2</v>
      </c>
      <c r="D3256">
        <v>1</v>
      </c>
      <c r="E3256" t="s">
        <v>14</v>
      </c>
      <c r="F3256">
        <v>0</v>
      </c>
      <c r="G3256">
        <v>2</v>
      </c>
      <c r="H3256">
        <v>1</v>
      </c>
    </row>
    <row r="3257" spans="1:8" x14ac:dyDescent="0.3">
      <c r="A3257">
        <v>3</v>
      </c>
      <c r="B3257">
        <v>2</v>
      </c>
      <c r="C3257">
        <v>1</v>
      </c>
      <c r="D3257">
        <v>0</v>
      </c>
      <c r="E3257" t="s">
        <v>14</v>
      </c>
      <c r="F3257">
        <v>2</v>
      </c>
      <c r="G3257">
        <v>1</v>
      </c>
      <c r="H3257">
        <v>0</v>
      </c>
    </row>
    <row r="3258" spans="1:8" x14ac:dyDescent="0.3">
      <c r="A3258">
        <v>3</v>
      </c>
      <c r="B3258">
        <v>1</v>
      </c>
      <c r="C3258">
        <v>1</v>
      </c>
      <c r="D3258">
        <v>1</v>
      </c>
      <c r="E3258" t="s">
        <v>14</v>
      </c>
      <c r="F3258">
        <v>1</v>
      </c>
      <c r="G3258">
        <v>1</v>
      </c>
      <c r="H3258">
        <v>1</v>
      </c>
    </row>
    <row r="3259" spans="1:8" x14ac:dyDescent="0.3">
      <c r="A3259">
        <v>3</v>
      </c>
      <c r="B3259">
        <v>2</v>
      </c>
      <c r="C3259">
        <v>1</v>
      </c>
      <c r="D3259">
        <v>0</v>
      </c>
      <c r="E3259" t="s">
        <v>14</v>
      </c>
      <c r="F3259">
        <v>2</v>
      </c>
      <c r="G3259">
        <v>1</v>
      </c>
      <c r="H3259">
        <v>0</v>
      </c>
    </row>
    <row r="3260" spans="1:8" x14ac:dyDescent="0.3">
      <c r="A3260">
        <v>3</v>
      </c>
      <c r="B3260">
        <v>2</v>
      </c>
      <c r="C3260">
        <v>1</v>
      </c>
      <c r="D3260">
        <v>0</v>
      </c>
      <c r="E3260" t="s">
        <v>14</v>
      </c>
      <c r="F3260">
        <v>2</v>
      </c>
      <c r="G3260">
        <v>1</v>
      </c>
      <c r="H3260">
        <v>0</v>
      </c>
    </row>
    <row r="3261" spans="1:8" x14ac:dyDescent="0.3">
      <c r="A3261">
        <v>3</v>
      </c>
      <c r="B3261">
        <v>1</v>
      </c>
      <c r="C3261">
        <v>1</v>
      </c>
      <c r="D3261">
        <v>1</v>
      </c>
      <c r="E3261" t="s">
        <v>14</v>
      </c>
      <c r="F3261">
        <v>2</v>
      </c>
      <c r="G3261">
        <v>1</v>
      </c>
      <c r="H3261">
        <v>0</v>
      </c>
    </row>
    <row r="3262" spans="1:8" x14ac:dyDescent="0.3">
      <c r="A3262">
        <v>3</v>
      </c>
      <c r="B3262">
        <v>1</v>
      </c>
      <c r="C3262">
        <v>0</v>
      </c>
      <c r="D3262">
        <v>2</v>
      </c>
      <c r="E3262" t="s">
        <v>14</v>
      </c>
      <c r="F3262">
        <v>1</v>
      </c>
      <c r="G3262">
        <v>0</v>
      </c>
      <c r="H3262">
        <v>2</v>
      </c>
    </row>
    <row r="3263" spans="1:8" x14ac:dyDescent="0.3">
      <c r="A3263">
        <v>3</v>
      </c>
      <c r="B3263">
        <v>0</v>
      </c>
      <c r="C3263">
        <v>2</v>
      </c>
      <c r="D3263">
        <v>1</v>
      </c>
      <c r="E3263" t="s">
        <v>14</v>
      </c>
      <c r="F3263">
        <v>0</v>
      </c>
      <c r="G3263">
        <v>2</v>
      </c>
      <c r="H3263">
        <v>1</v>
      </c>
    </row>
    <row r="3264" spans="1:8" x14ac:dyDescent="0.3">
      <c r="A3264">
        <v>3</v>
      </c>
      <c r="B3264">
        <v>1</v>
      </c>
      <c r="C3264">
        <v>1</v>
      </c>
      <c r="D3264">
        <v>1</v>
      </c>
      <c r="E3264" t="s">
        <v>14</v>
      </c>
      <c r="F3264">
        <v>1</v>
      </c>
      <c r="G3264">
        <v>0</v>
      </c>
      <c r="H3264">
        <v>2</v>
      </c>
    </row>
    <row r="3265" spans="1:8" x14ac:dyDescent="0.3">
      <c r="A3265">
        <v>4</v>
      </c>
      <c r="B3265">
        <v>1</v>
      </c>
      <c r="C3265">
        <v>2</v>
      </c>
      <c r="D3265">
        <v>1</v>
      </c>
      <c r="E3265" t="s">
        <v>14</v>
      </c>
      <c r="F3265">
        <v>1</v>
      </c>
      <c r="G3265">
        <v>2</v>
      </c>
      <c r="H3265">
        <v>1</v>
      </c>
    </row>
    <row r="3266" spans="1:8" x14ac:dyDescent="0.3">
      <c r="A3266">
        <v>4</v>
      </c>
      <c r="B3266">
        <v>2</v>
      </c>
      <c r="C3266">
        <v>1</v>
      </c>
      <c r="D3266">
        <v>1</v>
      </c>
      <c r="E3266" t="s">
        <v>14</v>
      </c>
      <c r="F3266">
        <v>2</v>
      </c>
      <c r="G3266">
        <v>1</v>
      </c>
      <c r="H3266">
        <v>1</v>
      </c>
    </row>
    <row r="3267" spans="1:8" x14ac:dyDescent="0.3">
      <c r="A3267">
        <v>4</v>
      </c>
      <c r="B3267">
        <v>1</v>
      </c>
      <c r="C3267">
        <v>1</v>
      </c>
      <c r="D3267">
        <v>2</v>
      </c>
      <c r="E3267" t="s">
        <v>14</v>
      </c>
      <c r="F3267">
        <v>2</v>
      </c>
      <c r="G3267">
        <v>2</v>
      </c>
      <c r="H3267">
        <v>0</v>
      </c>
    </row>
    <row r="3268" spans="1:8" x14ac:dyDescent="0.3">
      <c r="A3268">
        <v>4</v>
      </c>
      <c r="B3268">
        <v>2</v>
      </c>
      <c r="C3268">
        <v>1</v>
      </c>
      <c r="D3268">
        <v>1</v>
      </c>
      <c r="E3268" t="s">
        <v>14</v>
      </c>
      <c r="F3268">
        <v>2</v>
      </c>
      <c r="G3268">
        <v>1</v>
      </c>
      <c r="H3268">
        <v>1</v>
      </c>
    </row>
    <row r="3269" spans="1:8" x14ac:dyDescent="0.3">
      <c r="A3269">
        <v>4</v>
      </c>
      <c r="B3269">
        <v>2</v>
      </c>
      <c r="C3269">
        <v>1</v>
      </c>
      <c r="D3269">
        <v>1</v>
      </c>
      <c r="E3269" t="s">
        <v>14</v>
      </c>
      <c r="F3269">
        <v>2</v>
      </c>
      <c r="G3269">
        <v>1</v>
      </c>
      <c r="H3269">
        <v>1</v>
      </c>
    </row>
    <row r="3270" spans="1:8" x14ac:dyDescent="0.3">
      <c r="A3270">
        <v>4</v>
      </c>
      <c r="B3270">
        <v>2</v>
      </c>
      <c r="C3270">
        <v>1</v>
      </c>
      <c r="D3270">
        <v>1</v>
      </c>
      <c r="E3270" t="s">
        <v>14</v>
      </c>
      <c r="F3270">
        <v>2</v>
      </c>
      <c r="G3270">
        <v>1</v>
      </c>
      <c r="H3270">
        <v>1</v>
      </c>
    </row>
    <row r="3271" spans="1:8" x14ac:dyDescent="0.3">
      <c r="A3271">
        <v>4</v>
      </c>
      <c r="B3271">
        <v>2</v>
      </c>
      <c r="C3271">
        <v>1</v>
      </c>
      <c r="D3271">
        <v>1</v>
      </c>
      <c r="E3271" t="s">
        <v>14</v>
      </c>
      <c r="F3271">
        <v>2</v>
      </c>
      <c r="G3271">
        <v>1</v>
      </c>
      <c r="H3271">
        <v>1</v>
      </c>
    </row>
    <row r="3272" spans="1:8" x14ac:dyDescent="0.3">
      <c r="A3272">
        <v>4</v>
      </c>
      <c r="B3272">
        <v>1</v>
      </c>
      <c r="C3272">
        <v>1</v>
      </c>
      <c r="D3272">
        <v>2</v>
      </c>
      <c r="E3272" t="s">
        <v>14</v>
      </c>
      <c r="F3272">
        <v>0</v>
      </c>
      <c r="G3272">
        <v>2</v>
      </c>
      <c r="H3272">
        <v>2</v>
      </c>
    </row>
    <row r="3273" spans="1:8" x14ac:dyDescent="0.3">
      <c r="A3273">
        <v>4</v>
      </c>
      <c r="B3273">
        <v>1</v>
      </c>
      <c r="C3273">
        <v>2</v>
      </c>
      <c r="D3273">
        <v>1</v>
      </c>
      <c r="E3273" t="s">
        <v>14</v>
      </c>
      <c r="F3273">
        <v>2</v>
      </c>
      <c r="G3273">
        <v>0</v>
      </c>
      <c r="H3273">
        <v>2</v>
      </c>
    </row>
    <row r="3274" spans="1:8" x14ac:dyDescent="0.3">
      <c r="A3274">
        <v>4</v>
      </c>
      <c r="B3274">
        <v>2</v>
      </c>
      <c r="C3274">
        <v>1</v>
      </c>
      <c r="D3274">
        <v>1</v>
      </c>
      <c r="E3274" t="s">
        <v>14</v>
      </c>
      <c r="F3274">
        <v>2</v>
      </c>
      <c r="G3274">
        <v>2</v>
      </c>
      <c r="H3274">
        <v>0</v>
      </c>
    </row>
    <row r="3275" spans="1:8" x14ac:dyDescent="0.3">
      <c r="A3275">
        <v>4</v>
      </c>
      <c r="B3275">
        <v>1</v>
      </c>
      <c r="C3275">
        <v>2</v>
      </c>
      <c r="D3275">
        <v>1</v>
      </c>
      <c r="E3275" t="s">
        <v>14</v>
      </c>
      <c r="F3275">
        <v>1</v>
      </c>
      <c r="G3275">
        <v>2</v>
      </c>
      <c r="H3275">
        <v>1</v>
      </c>
    </row>
    <row r="3276" spans="1:8" x14ac:dyDescent="0.3">
      <c r="A3276">
        <v>5</v>
      </c>
      <c r="B3276">
        <v>1</v>
      </c>
      <c r="C3276">
        <v>2</v>
      </c>
      <c r="D3276">
        <v>2</v>
      </c>
      <c r="E3276" t="s">
        <v>14</v>
      </c>
      <c r="F3276">
        <v>1</v>
      </c>
      <c r="G3276">
        <v>2</v>
      </c>
      <c r="H3276">
        <v>2</v>
      </c>
    </row>
    <row r="3277" spans="1:8" x14ac:dyDescent="0.3">
      <c r="A3277">
        <v>5</v>
      </c>
      <c r="B3277">
        <v>2</v>
      </c>
      <c r="C3277">
        <v>1</v>
      </c>
      <c r="D3277">
        <v>2</v>
      </c>
      <c r="E3277" t="s">
        <v>14</v>
      </c>
      <c r="F3277">
        <v>2</v>
      </c>
      <c r="G3277">
        <v>3</v>
      </c>
      <c r="H3277">
        <v>0</v>
      </c>
    </row>
    <row r="3278" spans="1:8" x14ac:dyDescent="0.3">
      <c r="A3278">
        <v>5</v>
      </c>
      <c r="B3278">
        <v>2</v>
      </c>
      <c r="C3278">
        <v>1</v>
      </c>
      <c r="D3278">
        <v>2</v>
      </c>
      <c r="E3278" t="s">
        <v>14</v>
      </c>
      <c r="F3278">
        <v>3</v>
      </c>
      <c r="G3278">
        <v>0</v>
      </c>
      <c r="H3278">
        <v>2</v>
      </c>
    </row>
    <row r="3279" spans="1:8" x14ac:dyDescent="0.3">
      <c r="A3279">
        <v>5</v>
      </c>
      <c r="B3279">
        <v>2</v>
      </c>
      <c r="C3279">
        <v>2</v>
      </c>
      <c r="D3279">
        <v>1</v>
      </c>
      <c r="E3279" t="s">
        <v>14</v>
      </c>
      <c r="F3279">
        <v>2</v>
      </c>
      <c r="G3279">
        <v>2</v>
      </c>
      <c r="H3279">
        <v>1</v>
      </c>
    </row>
    <row r="3280" spans="1:8" x14ac:dyDescent="0.3">
      <c r="A3280">
        <v>5</v>
      </c>
      <c r="B3280">
        <v>1</v>
      </c>
      <c r="C3280">
        <v>2</v>
      </c>
      <c r="D3280">
        <v>2</v>
      </c>
      <c r="E3280" t="s">
        <v>14</v>
      </c>
      <c r="F3280">
        <v>1</v>
      </c>
      <c r="G3280">
        <v>2</v>
      </c>
      <c r="H3280">
        <v>2</v>
      </c>
    </row>
    <row r="3281" spans="1:8" x14ac:dyDescent="0.3">
      <c r="A3281">
        <v>5</v>
      </c>
      <c r="B3281">
        <v>1</v>
      </c>
      <c r="C3281">
        <v>2</v>
      </c>
      <c r="D3281">
        <v>2</v>
      </c>
      <c r="E3281" t="s">
        <v>14</v>
      </c>
      <c r="F3281">
        <v>1</v>
      </c>
      <c r="G3281">
        <v>2</v>
      </c>
      <c r="H3281">
        <v>2</v>
      </c>
    </row>
    <row r="3282" spans="1:8" x14ac:dyDescent="0.3">
      <c r="A3282">
        <v>5</v>
      </c>
      <c r="B3282">
        <v>2</v>
      </c>
      <c r="C3282">
        <v>2</v>
      </c>
      <c r="D3282">
        <v>1</v>
      </c>
      <c r="E3282" t="s">
        <v>14</v>
      </c>
      <c r="F3282">
        <v>0</v>
      </c>
      <c r="G3282">
        <v>2</v>
      </c>
      <c r="H3282">
        <v>3</v>
      </c>
    </row>
    <row r="3283" spans="1:8" x14ac:dyDescent="0.3">
      <c r="A3283">
        <v>5</v>
      </c>
      <c r="B3283">
        <v>2</v>
      </c>
      <c r="C3283">
        <v>1</v>
      </c>
      <c r="D3283">
        <v>2</v>
      </c>
      <c r="E3283" t="s">
        <v>14</v>
      </c>
      <c r="F3283">
        <v>2</v>
      </c>
      <c r="G3283">
        <v>1</v>
      </c>
      <c r="H3283">
        <v>2</v>
      </c>
    </row>
    <row r="3284" spans="1:8" x14ac:dyDescent="0.3">
      <c r="A3284">
        <v>6</v>
      </c>
      <c r="B3284">
        <v>2</v>
      </c>
      <c r="C3284">
        <v>2</v>
      </c>
      <c r="D3284">
        <v>2</v>
      </c>
      <c r="E3284" t="s">
        <v>14</v>
      </c>
      <c r="F3284">
        <v>2</v>
      </c>
      <c r="G3284">
        <v>2</v>
      </c>
      <c r="H3284">
        <v>2</v>
      </c>
    </row>
    <row r="3285" spans="1:8" x14ac:dyDescent="0.3">
      <c r="A3285">
        <v>6</v>
      </c>
      <c r="B3285">
        <v>2</v>
      </c>
      <c r="C3285">
        <v>3</v>
      </c>
      <c r="D3285">
        <v>1</v>
      </c>
      <c r="E3285" t="s">
        <v>14</v>
      </c>
      <c r="F3285">
        <v>2</v>
      </c>
      <c r="G3285">
        <v>3</v>
      </c>
      <c r="H3285">
        <v>1</v>
      </c>
    </row>
    <row r="3286" spans="1:8" x14ac:dyDescent="0.3">
      <c r="A3286">
        <v>6</v>
      </c>
      <c r="B3286">
        <v>2</v>
      </c>
      <c r="C3286">
        <v>3</v>
      </c>
      <c r="D3286">
        <v>1</v>
      </c>
      <c r="E3286" t="s">
        <v>14</v>
      </c>
      <c r="F3286">
        <v>2</v>
      </c>
      <c r="G3286">
        <v>3</v>
      </c>
      <c r="H3286">
        <v>1</v>
      </c>
    </row>
    <row r="3287" spans="1:8" x14ac:dyDescent="0.3">
      <c r="A3287">
        <v>6</v>
      </c>
      <c r="B3287">
        <v>2</v>
      </c>
      <c r="C3287">
        <v>3</v>
      </c>
      <c r="D3287">
        <v>1</v>
      </c>
      <c r="E3287" t="s">
        <v>14</v>
      </c>
      <c r="F3287">
        <v>2</v>
      </c>
      <c r="G3287">
        <v>3</v>
      </c>
      <c r="H3287">
        <v>1</v>
      </c>
    </row>
    <row r="3288" spans="1:8" x14ac:dyDescent="0.3">
      <c r="A3288">
        <v>7</v>
      </c>
      <c r="B3288">
        <v>2</v>
      </c>
      <c r="C3288">
        <v>2</v>
      </c>
      <c r="D3288">
        <v>3</v>
      </c>
      <c r="E3288" t="s">
        <v>14</v>
      </c>
      <c r="F3288">
        <v>2</v>
      </c>
      <c r="G3288">
        <v>2</v>
      </c>
      <c r="H3288">
        <v>3</v>
      </c>
    </row>
    <row r="3289" spans="1:8" x14ac:dyDescent="0.3">
      <c r="A3289">
        <v>7</v>
      </c>
      <c r="B3289">
        <v>2</v>
      </c>
      <c r="C3289">
        <v>3</v>
      </c>
      <c r="D3289">
        <v>2</v>
      </c>
      <c r="E3289" t="s">
        <v>14</v>
      </c>
      <c r="F3289">
        <v>2</v>
      </c>
      <c r="G3289">
        <v>3</v>
      </c>
      <c r="H3289">
        <v>2</v>
      </c>
    </row>
    <row r="3290" spans="1:8" x14ac:dyDescent="0.3">
      <c r="A3290">
        <v>8</v>
      </c>
      <c r="B3290">
        <v>3</v>
      </c>
      <c r="C3290">
        <v>2</v>
      </c>
      <c r="D3290">
        <v>3</v>
      </c>
      <c r="E3290" t="s">
        <v>14</v>
      </c>
      <c r="F3290">
        <v>3</v>
      </c>
      <c r="G3290">
        <v>2</v>
      </c>
      <c r="H329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E27"/>
  <sheetViews>
    <sheetView workbookViewId="0">
      <selection activeCell="X7" sqref="X7"/>
    </sheetView>
  </sheetViews>
  <sheetFormatPr defaultRowHeight="14.4" x14ac:dyDescent="0.3"/>
  <cols>
    <col min="1" max="1" width="13.109375" style="56" customWidth="1"/>
    <col min="12" max="12" width="12.5546875" style="56" customWidth="1"/>
    <col min="25" max="25" width="9.109375" style="56" customWidth="1"/>
  </cols>
  <sheetData>
    <row r="2" spans="1:31" x14ac:dyDescent="0.3">
      <c r="I2">
        <f>0.4*0.1</f>
        <v>4.0000000000000008E-2</v>
      </c>
    </row>
    <row r="4" spans="1:31" x14ac:dyDescent="0.3">
      <c r="A4" s="57"/>
      <c r="B4" s="67" t="s">
        <v>0</v>
      </c>
      <c r="C4" s="65"/>
      <c r="D4" s="65"/>
      <c r="E4" s="67" t="s">
        <v>60</v>
      </c>
      <c r="F4" s="65"/>
      <c r="G4" s="65"/>
      <c r="L4" s="57" t="s">
        <v>61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 s="57">
        <v>8</v>
      </c>
      <c r="U4" t="s">
        <v>59</v>
      </c>
      <c r="X4">
        <v>2</v>
      </c>
      <c r="Y4">
        <v>3</v>
      </c>
      <c r="Z4">
        <v>4</v>
      </c>
      <c r="AA4">
        <v>5</v>
      </c>
      <c r="AB4">
        <v>6</v>
      </c>
      <c r="AC4">
        <v>7</v>
      </c>
      <c r="AD4">
        <v>8</v>
      </c>
    </row>
    <row r="5" spans="1:31" x14ac:dyDescent="0.3">
      <c r="A5" s="7" t="s">
        <v>62</v>
      </c>
      <c r="B5" s="8" t="s">
        <v>4</v>
      </c>
      <c r="C5" s="4" t="s">
        <v>5</v>
      </c>
      <c r="D5" s="7" t="s">
        <v>6</v>
      </c>
      <c r="E5" s="8" t="s">
        <v>4</v>
      </c>
      <c r="F5" s="4" t="s">
        <v>5</v>
      </c>
      <c r="G5" s="7" t="s">
        <v>6</v>
      </c>
      <c r="L5" s="57" t="s">
        <v>63</v>
      </c>
      <c r="M5" s="63">
        <v>0</v>
      </c>
      <c r="N5" s="63">
        <v>5</v>
      </c>
      <c r="O5" s="63">
        <v>38</v>
      </c>
      <c r="P5" s="63">
        <v>20.666666666666671</v>
      </c>
      <c r="Q5" s="63">
        <v>5</v>
      </c>
      <c r="R5" s="63">
        <v>1.333333333333333</v>
      </c>
      <c r="S5" s="63">
        <v>0</v>
      </c>
      <c r="T5" s="25">
        <v>0</v>
      </c>
      <c r="U5">
        <v>70</v>
      </c>
      <c r="X5">
        <v>7.0000000000000007E-2</v>
      </c>
      <c r="Y5">
        <v>0.56999999999999995</v>
      </c>
      <c r="Z5">
        <v>0.15</v>
      </c>
      <c r="AA5">
        <v>7.9999999999999905E-2</v>
      </c>
      <c r="AB5">
        <v>0.06</v>
      </c>
      <c r="AC5">
        <v>3.9999999999999897E-2</v>
      </c>
      <c r="AD5">
        <v>0.03</v>
      </c>
    </row>
    <row r="6" spans="1:31" x14ac:dyDescent="0.3">
      <c r="A6" s="57" t="s">
        <v>64</v>
      </c>
      <c r="B6" s="9">
        <v>69.285714285714292</v>
      </c>
      <c r="C6" s="63">
        <v>63.428571428571431</v>
      </c>
      <c r="D6" s="25">
        <v>59.428571428571431</v>
      </c>
      <c r="E6" s="9">
        <v>99.857142857142861</v>
      </c>
      <c r="F6" s="63">
        <v>75.285714285714292</v>
      </c>
      <c r="G6" s="25">
        <v>61.714285714285722</v>
      </c>
      <c r="L6" s="7" t="s">
        <v>65</v>
      </c>
      <c r="M6" s="11">
        <v>0</v>
      </c>
      <c r="N6" s="11">
        <v>7.1428571428571423</v>
      </c>
      <c r="O6" s="11">
        <v>54.285714285714278</v>
      </c>
      <c r="P6" s="11">
        <v>29.523809523809529</v>
      </c>
      <c r="Q6" s="11">
        <v>7.1428571428571423</v>
      </c>
      <c r="R6" s="11">
        <v>1.9047619047619051</v>
      </c>
      <c r="S6" s="11">
        <v>0</v>
      </c>
      <c r="T6" s="12">
        <v>0</v>
      </c>
      <c r="U6" s="4"/>
    </row>
    <row r="7" spans="1:31" x14ac:dyDescent="0.3">
      <c r="A7" s="57" t="s">
        <v>66</v>
      </c>
      <c r="B7" s="9">
        <v>36.059479553903337</v>
      </c>
      <c r="C7" s="63">
        <v>33.011152416356879</v>
      </c>
      <c r="D7" s="25">
        <v>30.929368029739781</v>
      </c>
      <c r="E7" s="9">
        <v>42.15922798552473</v>
      </c>
      <c r="F7" s="63">
        <v>31.785283474065139</v>
      </c>
      <c r="G7" s="25">
        <v>26.055488540410131</v>
      </c>
      <c r="L7" s="57" t="s">
        <v>67</v>
      </c>
      <c r="M7">
        <v>0</v>
      </c>
      <c r="N7">
        <v>8</v>
      </c>
      <c r="O7">
        <v>32</v>
      </c>
      <c r="P7">
        <v>25</v>
      </c>
      <c r="Q7">
        <v>5</v>
      </c>
      <c r="R7">
        <v>0</v>
      </c>
      <c r="S7">
        <v>0</v>
      </c>
      <c r="T7" s="57">
        <v>0</v>
      </c>
      <c r="U7">
        <v>70</v>
      </c>
      <c r="X7">
        <f t="shared" ref="X7:AD7" si="0">X4*X5</f>
        <v>0.14000000000000001</v>
      </c>
      <c r="Y7">
        <f t="shared" si="0"/>
        <v>1.71</v>
      </c>
      <c r="Z7">
        <f t="shared" si="0"/>
        <v>0.6</v>
      </c>
      <c r="AA7">
        <f t="shared" si="0"/>
        <v>0.39999999999999952</v>
      </c>
      <c r="AB7">
        <f t="shared" si="0"/>
        <v>0.36</v>
      </c>
      <c r="AC7">
        <f t="shared" si="0"/>
        <v>0.27999999999999925</v>
      </c>
      <c r="AD7">
        <f t="shared" si="0"/>
        <v>0.24</v>
      </c>
      <c r="AE7">
        <f>SUM(X7:AD7)</f>
        <v>3.7299999999999986</v>
      </c>
    </row>
    <row r="8" spans="1:31" x14ac:dyDescent="0.3">
      <c r="L8" s="57" t="s">
        <v>68</v>
      </c>
      <c r="M8">
        <v>0</v>
      </c>
      <c r="N8">
        <v>4</v>
      </c>
      <c r="O8">
        <v>42</v>
      </c>
      <c r="P8">
        <v>18</v>
      </c>
      <c r="Q8">
        <v>4</v>
      </c>
      <c r="R8">
        <v>2</v>
      </c>
      <c r="S8">
        <v>0</v>
      </c>
      <c r="T8" s="57">
        <v>0</v>
      </c>
      <c r="U8">
        <v>70</v>
      </c>
    </row>
    <row r="9" spans="1:31" x14ac:dyDescent="0.3">
      <c r="A9" s="57"/>
      <c r="B9" s="64" t="s">
        <v>2</v>
      </c>
      <c r="C9" s="65"/>
      <c r="D9" s="65"/>
      <c r="E9" s="67" t="s">
        <v>60</v>
      </c>
      <c r="F9" s="65"/>
      <c r="G9" s="65"/>
      <c r="L9" s="57" t="s">
        <v>69</v>
      </c>
      <c r="M9">
        <v>0</v>
      </c>
      <c r="N9">
        <v>3</v>
      </c>
      <c r="O9">
        <v>40</v>
      </c>
      <c r="P9">
        <v>19</v>
      </c>
      <c r="Q9">
        <v>6</v>
      </c>
      <c r="R9">
        <v>2</v>
      </c>
      <c r="S9">
        <v>0</v>
      </c>
      <c r="T9" s="57">
        <v>0</v>
      </c>
      <c r="U9">
        <v>70</v>
      </c>
    </row>
    <row r="10" spans="1:31" x14ac:dyDescent="0.3">
      <c r="A10" s="7" t="s">
        <v>62</v>
      </c>
      <c r="B10" s="4" t="s">
        <v>4</v>
      </c>
      <c r="C10" s="4" t="s">
        <v>5</v>
      </c>
      <c r="D10" s="7" t="s">
        <v>6</v>
      </c>
      <c r="E10" s="8" t="s">
        <v>4</v>
      </c>
      <c r="F10" s="4" t="s">
        <v>5</v>
      </c>
      <c r="G10" s="7" t="s">
        <v>6</v>
      </c>
    </row>
    <row r="11" spans="1:31" x14ac:dyDescent="0.3">
      <c r="A11" s="57" t="s">
        <v>64</v>
      </c>
      <c r="B11" s="63">
        <v>70</v>
      </c>
      <c r="C11" s="63">
        <v>61.142857142857153</v>
      </c>
      <c r="D11" s="25">
        <v>36.285714285714278</v>
      </c>
      <c r="E11" s="9">
        <v>104</v>
      </c>
      <c r="F11" s="63">
        <v>71.142857142857139</v>
      </c>
      <c r="G11" s="25">
        <v>39</v>
      </c>
    </row>
    <row r="12" spans="1:31" x14ac:dyDescent="0.3">
      <c r="A12" s="57" t="s">
        <v>66</v>
      </c>
      <c r="B12" s="63">
        <v>41.808873720136518</v>
      </c>
      <c r="C12" s="63">
        <v>36.518771331058019</v>
      </c>
      <c r="D12" s="25">
        <v>21.672354948805459</v>
      </c>
      <c r="E12" s="9">
        <v>48.565710473649098</v>
      </c>
      <c r="F12" s="63">
        <v>33.22214809873249</v>
      </c>
      <c r="G12" s="25">
        <v>18.212141427618409</v>
      </c>
    </row>
    <row r="15" spans="1:31" x14ac:dyDescent="0.3">
      <c r="L15" s="57" t="s">
        <v>61</v>
      </c>
      <c r="M15">
        <v>1</v>
      </c>
      <c r="N15">
        <v>2</v>
      </c>
      <c r="O15">
        <v>3</v>
      </c>
      <c r="P15">
        <v>4</v>
      </c>
      <c r="Q15">
        <v>5</v>
      </c>
      <c r="R15">
        <v>6</v>
      </c>
      <c r="S15">
        <v>7</v>
      </c>
      <c r="T15" s="57">
        <v>8</v>
      </c>
      <c r="U15" t="s">
        <v>59</v>
      </c>
    </row>
    <row r="16" spans="1:31" x14ac:dyDescent="0.3">
      <c r="L16" s="57" t="s">
        <v>63</v>
      </c>
      <c r="M16" s="63">
        <v>1.666666666666667</v>
      </c>
      <c r="N16" s="63">
        <v>13.66666666666667</v>
      </c>
      <c r="O16" s="63">
        <v>33</v>
      </c>
      <c r="P16" s="63">
        <v>17</v>
      </c>
      <c r="Q16" s="63">
        <v>4</v>
      </c>
      <c r="R16" s="63">
        <v>0.66666666666666663</v>
      </c>
      <c r="S16" s="63">
        <v>0</v>
      </c>
      <c r="T16" s="25">
        <v>0</v>
      </c>
      <c r="U16">
        <v>70</v>
      </c>
    </row>
    <row r="17" spans="12:21" x14ac:dyDescent="0.3">
      <c r="L17" s="7" t="s">
        <v>65</v>
      </c>
      <c r="M17" s="11">
        <v>2.3809523809523809</v>
      </c>
      <c r="N17" s="11">
        <v>19.523809523809529</v>
      </c>
      <c r="O17" s="11">
        <v>47.142857142857139</v>
      </c>
      <c r="P17" s="11">
        <v>24.285714285714281</v>
      </c>
      <c r="Q17" s="11">
        <v>5.7142857142857144</v>
      </c>
      <c r="R17" s="11">
        <v>0.95238095238095244</v>
      </c>
      <c r="S17" s="11">
        <v>0</v>
      </c>
      <c r="T17" s="12">
        <v>0</v>
      </c>
      <c r="U17" s="4"/>
    </row>
    <row r="18" spans="12:21" x14ac:dyDescent="0.3">
      <c r="L18" s="57" t="s">
        <v>67</v>
      </c>
      <c r="M18">
        <v>2</v>
      </c>
      <c r="N18">
        <v>11</v>
      </c>
      <c r="O18">
        <v>31</v>
      </c>
      <c r="P18">
        <v>23</v>
      </c>
      <c r="Q18">
        <v>3</v>
      </c>
      <c r="R18">
        <v>0</v>
      </c>
      <c r="S18">
        <v>0</v>
      </c>
      <c r="T18" s="57">
        <v>0</v>
      </c>
      <c r="U18">
        <v>70</v>
      </c>
    </row>
    <row r="19" spans="12:21" x14ac:dyDescent="0.3">
      <c r="L19" s="57" t="s">
        <v>68</v>
      </c>
      <c r="M19">
        <v>3</v>
      </c>
      <c r="N19">
        <v>13</v>
      </c>
      <c r="O19">
        <v>35</v>
      </c>
      <c r="P19">
        <v>14</v>
      </c>
      <c r="Q19">
        <v>4</v>
      </c>
      <c r="R19">
        <v>1</v>
      </c>
      <c r="S19">
        <v>0</v>
      </c>
      <c r="T19" s="57">
        <v>0</v>
      </c>
      <c r="U19">
        <v>70</v>
      </c>
    </row>
    <row r="20" spans="12:21" x14ac:dyDescent="0.3">
      <c r="L20" s="57" t="s">
        <v>69</v>
      </c>
      <c r="M20">
        <v>0</v>
      </c>
      <c r="N20">
        <v>17</v>
      </c>
      <c r="O20">
        <v>33</v>
      </c>
      <c r="P20">
        <v>14</v>
      </c>
      <c r="Q20">
        <v>5</v>
      </c>
      <c r="R20">
        <v>1</v>
      </c>
      <c r="S20">
        <v>0</v>
      </c>
      <c r="T20" s="57">
        <v>0</v>
      </c>
      <c r="U20">
        <v>70</v>
      </c>
    </row>
    <row r="24" spans="12:21" ht="72" customHeight="1" x14ac:dyDescent="0.3">
      <c r="L24" s="14" t="s">
        <v>70</v>
      </c>
      <c r="M24" s="14" t="s">
        <v>71</v>
      </c>
      <c r="N24" s="15" t="s">
        <v>72</v>
      </c>
      <c r="O24" s="14" t="s">
        <v>73</v>
      </c>
    </row>
    <row r="25" spans="12:21" x14ac:dyDescent="0.3">
      <c r="L25" s="55">
        <v>48.826998689384013</v>
      </c>
      <c r="M25" s="55">
        <v>65.199302107099726</v>
      </c>
      <c r="N25" s="10">
        <v>34.800697892900281</v>
      </c>
      <c r="O25" s="55">
        <v>51.173001310615987</v>
      </c>
    </row>
    <row r="27" spans="12:21" x14ac:dyDescent="0.3">
      <c r="L27">
        <f>L25*M25</f>
        <v>3183.4862385321107</v>
      </c>
    </row>
  </sheetData>
  <mergeCells count="4">
    <mergeCell ref="B4:D4"/>
    <mergeCell ref="E4:G4"/>
    <mergeCell ref="B9:D9"/>
    <mergeCell ref="E9:G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44"/>
  <sheetViews>
    <sheetView workbookViewId="0">
      <selection activeCell="H25" sqref="H25"/>
    </sheetView>
  </sheetViews>
  <sheetFormatPr defaultColWidth="8.88671875" defaultRowHeight="14.4" x14ac:dyDescent="0.3"/>
  <cols>
    <col min="1" max="3" width="8.88671875" style="56" customWidth="1"/>
    <col min="4" max="4" width="11.5546875" style="56" customWidth="1"/>
    <col min="5" max="5" width="10.33203125" style="56" customWidth="1"/>
    <col min="6" max="6" width="10.5546875" style="56" customWidth="1"/>
    <col min="7" max="7" width="8.88671875" style="56" customWidth="1"/>
    <col min="8" max="8" width="10.5546875" style="56" customWidth="1"/>
    <col min="9" max="77" width="8.88671875" style="56" customWidth="1"/>
    <col min="78" max="16384" width="8.88671875" style="56"/>
  </cols>
  <sheetData>
    <row r="1" spans="1:13" x14ac:dyDescent="0.3">
      <c r="A1" s="68" t="s">
        <v>74</v>
      </c>
      <c r="B1" s="68" t="s">
        <v>75</v>
      </c>
      <c r="C1" s="64" t="s">
        <v>76</v>
      </c>
      <c r="D1" s="65"/>
      <c r="E1" s="65"/>
      <c r="F1" s="68" t="s">
        <v>77</v>
      </c>
      <c r="H1" s="59"/>
    </row>
    <row r="2" spans="1:13" ht="30" customHeight="1" x14ac:dyDescent="0.3">
      <c r="A2" s="65"/>
      <c r="B2" s="65"/>
      <c r="C2" t="s">
        <v>78</v>
      </c>
      <c r="D2" s="38" t="s">
        <v>79</v>
      </c>
      <c r="E2" s="38" t="s">
        <v>80</v>
      </c>
      <c r="F2" s="65"/>
      <c r="I2" t="s">
        <v>81</v>
      </c>
    </row>
    <row r="3" spans="1:13" ht="13.95" customHeight="1" x14ac:dyDescent="0.3">
      <c r="B3">
        <f>SUM(B4:B200)</f>
        <v>31054</v>
      </c>
      <c r="C3">
        <f>SUM(C4:C200)</f>
        <v>15162</v>
      </c>
      <c r="D3" s="38"/>
      <c r="E3" s="38"/>
      <c r="G3">
        <f>C3/B3</f>
        <v>0.48824628067237713</v>
      </c>
    </row>
    <row r="4" spans="1:13" x14ac:dyDescent="0.3">
      <c r="A4">
        <v>2</v>
      </c>
      <c r="B4" s="57">
        <v>3</v>
      </c>
      <c r="C4">
        <v>3</v>
      </c>
      <c r="D4">
        <v>2</v>
      </c>
      <c r="E4" s="57">
        <v>1</v>
      </c>
      <c r="F4">
        <v>0</v>
      </c>
      <c r="G4">
        <f>SUMIF(B4:B120,"="&amp;2,A4:A150)</f>
        <v>5</v>
      </c>
      <c r="H4">
        <v>2</v>
      </c>
      <c r="I4">
        <f>SUMIF(A$4:A$120,"="&amp;H4,B$4:B150)</f>
        <v>1207</v>
      </c>
      <c r="J4">
        <f>SUMIF(A$4:A$120,"="&amp;H4,C$4:C150)</f>
        <v>1054</v>
      </c>
      <c r="K4">
        <f t="shared" ref="K4:K10" si="0">(J4-I4)/I4</f>
        <v>-0.12676056338028169</v>
      </c>
      <c r="L4">
        <v>2</v>
      </c>
      <c r="M4">
        <v>3</v>
      </c>
    </row>
    <row r="5" spans="1:13" x14ac:dyDescent="0.3">
      <c r="A5">
        <v>3</v>
      </c>
      <c r="B5" s="57">
        <v>40</v>
      </c>
      <c r="C5">
        <v>23</v>
      </c>
      <c r="D5">
        <v>14</v>
      </c>
      <c r="E5" s="57">
        <v>9</v>
      </c>
      <c r="F5">
        <v>17</v>
      </c>
      <c r="G5">
        <f>SUMIF(B5:B121,"="&amp;3,A5:A151)</f>
        <v>0</v>
      </c>
      <c r="H5">
        <v>3</v>
      </c>
      <c r="I5">
        <f>SUMIF(A$4:A$120,"="&amp;H5,B$4:B151)</f>
        <v>10760</v>
      </c>
      <c r="J5">
        <f>SUMIF(A$4:A$120,"="&amp;H5,C$4:C151)</f>
        <v>5064</v>
      </c>
      <c r="K5">
        <f t="shared" si="0"/>
        <v>-0.52936802973977692</v>
      </c>
      <c r="L5">
        <v>3</v>
      </c>
      <c r="M5">
        <v>40</v>
      </c>
    </row>
    <row r="6" spans="1:13" x14ac:dyDescent="0.3">
      <c r="A6">
        <v>4</v>
      </c>
      <c r="B6" s="57">
        <v>19</v>
      </c>
      <c r="C6">
        <v>9</v>
      </c>
      <c r="D6">
        <v>8</v>
      </c>
      <c r="E6" s="57">
        <v>1</v>
      </c>
      <c r="F6">
        <v>10</v>
      </c>
      <c r="G6">
        <f>SUMIF(B6:B122,"="&amp;4,A6:A152)</f>
        <v>36</v>
      </c>
      <c r="H6">
        <v>4</v>
      </c>
      <c r="I6">
        <f>SUMIF(A$4:A$120,"="&amp;H6,B$4:B152)</f>
        <v>4543</v>
      </c>
      <c r="J6">
        <f>SUMIF(A$4:A$120,"="&amp;H6,C$4:C152)</f>
        <v>2209</v>
      </c>
      <c r="K6">
        <f t="shared" si="0"/>
        <v>-0.51375742901166632</v>
      </c>
      <c r="L6">
        <v>4</v>
      </c>
      <c r="M6">
        <v>19</v>
      </c>
    </row>
    <row r="7" spans="1:13" x14ac:dyDescent="0.3">
      <c r="A7">
        <v>5</v>
      </c>
      <c r="B7" s="57">
        <v>7</v>
      </c>
      <c r="C7">
        <v>2</v>
      </c>
      <c r="D7">
        <v>2</v>
      </c>
      <c r="E7" s="57">
        <v>0</v>
      </c>
      <c r="F7">
        <v>5</v>
      </c>
      <c r="G7">
        <f>SUMIF(B7:B123,"="&amp;5,A7:A153)</f>
        <v>0</v>
      </c>
      <c r="H7">
        <v>5</v>
      </c>
      <c r="I7">
        <f>SUMIF(A$4:A$120,"="&amp;H7,B$4:B153)</f>
        <v>1112</v>
      </c>
      <c r="J7">
        <f>SUMIF(A$4:A$120,"="&amp;H7,C$4:C153)</f>
        <v>237</v>
      </c>
      <c r="K7">
        <f t="shared" si="0"/>
        <v>-0.78687050359712229</v>
      </c>
      <c r="L7">
        <v>5</v>
      </c>
      <c r="M7">
        <v>7</v>
      </c>
    </row>
    <row r="8" spans="1:13" x14ac:dyDescent="0.3">
      <c r="A8">
        <v>6</v>
      </c>
      <c r="B8" s="57">
        <v>1</v>
      </c>
      <c r="C8">
        <v>0</v>
      </c>
      <c r="D8">
        <v>0</v>
      </c>
      <c r="E8" s="57">
        <v>0</v>
      </c>
      <c r="F8">
        <v>1</v>
      </c>
      <c r="G8">
        <f>SUMIF(B8:B124,"="&amp;6,A8:A154)</f>
        <v>8</v>
      </c>
      <c r="H8">
        <v>6</v>
      </c>
      <c r="I8">
        <f>SUMIF(A$4:A$120,"="&amp;H8,B$4:B154)</f>
        <v>139</v>
      </c>
      <c r="J8">
        <f>SUMIF(A$4:A$120,"="&amp;H8,C$4:C154)</f>
        <v>45</v>
      </c>
      <c r="K8">
        <f t="shared" si="0"/>
        <v>-0.67625899280575541</v>
      </c>
      <c r="L8">
        <v>6</v>
      </c>
      <c r="M8">
        <v>1</v>
      </c>
    </row>
    <row r="9" spans="1:13" x14ac:dyDescent="0.3">
      <c r="A9">
        <v>2</v>
      </c>
      <c r="B9">
        <v>6</v>
      </c>
      <c r="C9">
        <v>5</v>
      </c>
      <c r="D9">
        <v>4</v>
      </c>
      <c r="E9">
        <v>1</v>
      </c>
      <c r="F9">
        <v>1</v>
      </c>
      <c r="G9">
        <f>SUMIF(B9:B125,"="&amp;7,A9:A155)</f>
        <v>12</v>
      </c>
      <c r="H9">
        <v>7</v>
      </c>
      <c r="I9">
        <f>SUMIF(A$4:A$120,"="&amp;H9,B$4:B155)</f>
        <v>5</v>
      </c>
      <c r="J9">
        <f>SUMIF(A$4:A$120,"="&amp;H9,C$4:C155)</f>
        <v>0</v>
      </c>
      <c r="K9">
        <f t="shared" si="0"/>
        <v>-1</v>
      </c>
      <c r="L9">
        <f>L4*M4+L5*M5+L6*M6+L7*M7+L8*M8</f>
        <v>243</v>
      </c>
      <c r="M9">
        <f>SUM(M4:M8)</f>
        <v>70</v>
      </c>
    </row>
    <row r="10" spans="1:13" x14ac:dyDescent="0.3">
      <c r="A10">
        <v>3</v>
      </c>
      <c r="B10">
        <v>41</v>
      </c>
      <c r="C10">
        <v>13</v>
      </c>
      <c r="D10">
        <v>9</v>
      </c>
      <c r="E10">
        <v>4</v>
      </c>
      <c r="F10">
        <v>28</v>
      </c>
      <c r="G10">
        <f>SUMIF(B10:B126,"="&amp;8,A10:A156)</f>
        <v>17</v>
      </c>
      <c r="H10">
        <v>8</v>
      </c>
      <c r="I10">
        <f>SUMIF(A$4:A$120,"="&amp;H10,B$4:B156)</f>
        <v>0</v>
      </c>
      <c r="J10">
        <f>SUMIF(A$4:A$120,"="&amp;H10,C$4:C156)</f>
        <v>0</v>
      </c>
      <c r="K10" t="e">
        <f t="shared" si="0"/>
        <v>#DIV/0!</v>
      </c>
      <c r="M10">
        <f>L9/M9</f>
        <v>3.4714285714285715</v>
      </c>
    </row>
    <row r="11" spans="1:13" x14ac:dyDescent="0.3">
      <c r="A11">
        <v>4</v>
      </c>
      <c r="B11">
        <v>21</v>
      </c>
      <c r="C11">
        <v>11</v>
      </c>
      <c r="D11">
        <v>4</v>
      </c>
      <c r="E11">
        <v>7</v>
      </c>
      <c r="F11">
        <v>10</v>
      </c>
    </row>
    <row r="12" spans="1:13" x14ac:dyDescent="0.3">
      <c r="A12">
        <v>5</v>
      </c>
      <c r="B12">
        <v>2</v>
      </c>
      <c r="C12">
        <v>1</v>
      </c>
      <c r="D12">
        <v>1</v>
      </c>
      <c r="E12">
        <v>0</v>
      </c>
      <c r="F12">
        <v>1</v>
      </c>
    </row>
    <row r="13" spans="1:13" x14ac:dyDescent="0.3">
      <c r="A13">
        <v>2</v>
      </c>
      <c r="B13">
        <v>11</v>
      </c>
      <c r="C13">
        <v>9</v>
      </c>
      <c r="D13">
        <v>7</v>
      </c>
      <c r="E13">
        <v>2</v>
      </c>
      <c r="F13">
        <v>2</v>
      </c>
    </row>
    <row r="14" spans="1:13" x14ac:dyDescent="0.3">
      <c r="A14">
        <v>3</v>
      </c>
      <c r="B14">
        <v>81</v>
      </c>
      <c r="C14">
        <v>34</v>
      </c>
      <c r="D14">
        <v>23</v>
      </c>
      <c r="E14">
        <v>11</v>
      </c>
      <c r="F14">
        <v>47</v>
      </c>
    </row>
    <row r="15" spans="1:13" x14ac:dyDescent="0.3">
      <c r="A15">
        <v>4</v>
      </c>
      <c r="B15">
        <v>40</v>
      </c>
      <c r="C15">
        <v>17</v>
      </c>
      <c r="D15">
        <v>6</v>
      </c>
      <c r="E15">
        <v>11</v>
      </c>
      <c r="F15">
        <v>23</v>
      </c>
    </row>
    <row r="16" spans="1:13" x14ac:dyDescent="0.3">
      <c r="A16">
        <v>5</v>
      </c>
      <c r="B16">
        <v>8</v>
      </c>
      <c r="C16">
        <v>4</v>
      </c>
      <c r="D16">
        <v>4</v>
      </c>
      <c r="E16">
        <v>0</v>
      </c>
      <c r="F16">
        <v>4</v>
      </c>
    </row>
    <row r="17" spans="1:6" x14ac:dyDescent="0.3">
      <c r="A17">
        <v>2</v>
      </c>
      <c r="B17">
        <v>14</v>
      </c>
      <c r="C17">
        <v>11</v>
      </c>
      <c r="D17">
        <v>9</v>
      </c>
      <c r="E17">
        <v>2</v>
      </c>
      <c r="F17">
        <v>3</v>
      </c>
    </row>
    <row r="18" spans="1:6" x14ac:dyDescent="0.3">
      <c r="A18">
        <v>3</v>
      </c>
      <c r="B18">
        <v>127</v>
      </c>
      <c r="C18">
        <v>55</v>
      </c>
      <c r="D18">
        <v>36</v>
      </c>
      <c r="E18">
        <v>19</v>
      </c>
      <c r="F18">
        <v>72</v>
      </c>
    </row>
    <row r="19" spans="1:6" x14ac:dyDescent="0.3">
      <c r="A19">
        <v>4</v>
      </c>
      <c r="B19">
        <v>56</v>
      </c>
      <c r="C19">
        <v>23</v>
      </c>
      <c r="D19">
        <v>9</v>
      </c>
      <c r="E19">
        <v>14</v>
      </c>
      <c r="F19">
        <v>33</v>
      </c>
    </row>
    <row r="20" spans="1:6" x14ac:dyDescent="0.3">
      <c r="A20">
        <v>5</v>
      </c>
      <c r="B20">
        <v>12</v>
      </c>
      <c r="C20">
        <v>5</v>
      </c>
      <c r="D20">
        <v>5</v>
      </c>
      <c r="E20">
        <v>0</v>
      </c>
      <c r="F20">
        <v>7</v>
      </c>
    </row>
    <row r="21" spans="1:6" x14ac:dyDescent="0.3">
      <c r="A21">
        <v>6</v>
      </c>
      <c r="B21">
        <v>1</v>
      </c>
      <c r="C21">
        <v>1</v>
      </c>
      <c r="D21">
        <v>1</v>
      </c>
      <c r="E21">
        <v>0</v>
      </c>
      <c r="F21">
        <v>0</v>
      </c>
    </row>
    <row r="22" spans="1:6" x14ac:dyDescent="0.3">
      <c r="A22">
        <v>2</v>
      </c>
      <c r="B22">
        <v>20</v>
      </c>
      <c r="C22">
        <v>17</v>
      </c>
      <c r="D22">
        <v>11</v>
      </c>
      <c r="E22">
        <v>6</v>
      </c>
      <c r="F22">
        <v>3</v>
      </c>
    </row>
    <row r="23" spans="1:6" x14ac:dyDescent="0.3">
      <c r="A23">
        <v>3</v>
      </c>
      <c r="B23">
        <v>166</v>
      </c>
      <c r="C23">
        <v>73</v>
      </c>
      <c r="D23">
        <v>49</v>
      </c>
      <c r="E23">
        <v>24</v>
      </c>
      <c r="F23">
        <v>93</v>
      </c>
    </row>
    <row r="24" spans="1:6" x14ac:dyDescent="0.3">
      <c r="A24">
        <v>4</v>
      </c>
      <c r="B24">
        <v>73</v>
      </c>
      <c r="C24">
        <v>32</v>
      </c>
      <c r="D24">
        <v>13</v>
      </c>
      <c r="E24">
        <v>19</v>
      </c>
      <c r="F24">
        <v>41</v>
      </c>
    </row>
    <row r="25" spans="1:6" x14ac:dyDescent="0.3">
      <c r="A25">
        <v>5</v>
      </c>
      <c r="B25">
        <v>17</v>
      </c>
      <c r="C25">
        <v>6</v>
      </c>
      <c r="D25">
        <v>6</v>
      </c>
      <c r="E25">
        <v>0</v>
      </c>
      <c r="F25">
        <v>11</v>
      </c>
    </row>
    <row r="26" spans="1:6" x14ac:dyDescent="0.3">
      <c r="A26">
        <v>6</v>
      </c>
      <c r="B26">
        <v>4</v>
      </c>
      <c r="C26">
        <v>1</v>
      </c>
      <c r="D26">
        <v>1</v>
      </c>
      <c r="E26">
        <v>0</v>
      </c>
      <c r="F26">
        <v>3</v>
      </c>
    </row>
    <row r="27" spans="1:6" x14ac:dyDescent="0.3">
      <c r="A27">
        <v>2</v>
      </c>
      <c r="B27">
        <v>25</v>
      </c>
      <c r="C27">
        <v>21</v>
      </c>
      <c r="D27">
        <v>13</v>
      </c>
      <c r="E27">
        <v>8</v>
      </c>
      <c r="F27">
        <v>4</v>
      </c>
    </row>
    <row r="28" spans="1:6" x14ac:dyDescent="0.3">
      <c r="A28">
        <v>3</v>
      </c>
      <c r="B28">
        <v>211</v>
      </c>
      <c r="C28">
        <v>98</v>
      </c>
      <c r="D28">
        <v>66</v>
      </c>
      <c r="E28">
        <v>32</v>
      </c>
      <c r="F28">
        <v>113</v>
      </c>
    </row>
    <row r="29" spans="1:6" x14ac:dyDescent="0.3">
      <c r="A29">
        <v>4</v>
      </c>
      <c r="B29">
        <v>87</v>
      </c>
      <c r="C29">
        <v>38</v>
      </c>
      <c r="D29">
        <v>15</v>
      </c>
      <c r="E29">
        <v>23</v>
      </c>
      <c r="F29">
        <v>49</v>
      </c>
    </row>
    <row r="30" spans="1:6" x14ac:dyDescent="0.3">
      <c r="A30">
        <v>5</v>
      </c>
      <c r="B30">
        <v>23</v>
      </c>
      <c r="C30">
        <v>6</v>
      </c>
      <c r="D30">
        <v>6</v>
      </c>
      <c r="E30">
        <v>0</v>
      </c>
      <c r="F30">
        <v>17</v>
      </c>
    </row>
    <row r="31" spans="1:6" x14ac:dyDescent="0.3">
      <c r="A31">
        <v>6</v>
      </c>
      <c r="B31">
        <v>4</v>
      </c>
      <c r="C31">
        <v>1</v>
      </c>
      <c r="D31">
        <v>1</v>
      </c>
      <c r="E31">
        <v>0</v>
      </c>
      <c r="F31">
        <v>3</v>
      </c>
    </row>
    <row r="32" spans="1:6" x14ac:dyDescent="0.3">
      <c r="A32">
        <v>2</v>
      </c>
      <c r="B32">
        <v>29</v>
      </c>
      <c r="C32">
        <v>24</v>
      </c>
      <c r="D32">
        <v>15</v>
      </c>
      <c r="E32">
        <v>9</v>
      </c>
      <c r="F32">
        <v>5</v>
      </c>
    </row>
    <row r="33" spans="1:6" x14ac:dyDescent="0.3">
      <c r="A33">
        <v>3</v>
      </c>
      <c r="B33">
        <v>256</v>
      </c>
      <c r="C33">
        <v>122</v>
      </c>
      <c r="D33">
        <v>80</v>
      </c>
      <c r="E33">
        <v>42</v>
      </c>
      <c r="F33">
        <v>134</v>
      </c>
    </row>
    <row r="34" spans="1:6" x14ac:dyDescent="0.3">
      <c r="A34">
        <v>4</v>
      </c>
      <c r="B34">
        <v>104</v>
      </c>
      <c r="C34">
        <v>47</v>
      </c>
      <c r="D34">
        <v>21</v>
      </c>
      <c r="E34">
        <v>26</v>
      </c>
      <c r="F34">
        <v>57</v>
      </c>
    </row>
    <row r="35" spans="1:6" x14ac:dyDescent="0.3">
      <c r="A35">
        <v>5</v>
      </c>
      <c r="B35">
        <v>27</v>
      </c>
      <c r="C35">
        <v>7</v>
      </c>
      <c r="D35">
        <v>7</v>
      </c>
      <c r="E35">
        <v>0</v>
      </c>
      <c r="F35">
        <v>20</v>
      </c>
    </row>
    <row r="36" spans="1:6" x14ac:dyDescent="0.3">
      <c r="A36">
        <v>6</v>
      </c>
      <c r="B36">
        <v>4</v>
      </c>
      <c r="C36">
        <v>1</v>
      </c>
      <c r="D36">
        <v>1</v>
      </c>
      <c r="E36">
        <v>0</v>
      </c>
      <c r="F36">
        <v>3</v>
      </c>
    </row>
    <row r="37" spans="1:6" x14ac:dyDescent="0.3">
      <c r="A37">
        <v>2</v>
      </c>
      <c r="B37">
        <v>34</v>
      </c>
      <c r="C37">
        <v>29</v>
      </c>
      <c r="D37">
        <v>16</v>
      </c>
      <c r="E37">
        <v>13</v>
      </c>
      <c r="F37">
        <v>5</v>
      </c>
    </row>
    <row r="38" spans="1:6" x14ac:dyDescent="0.3">
      <c r="A38">
        <v>3</v>
      </c>
      <c r="B38">
        <v>304</v>
      </c>
      <c r="C38">
        <v>145</v>
      </c>
      <c r="D38">
        <v>96</v>
      </c>
      <c r="E38">
        <v>49</v>
      </c>
      <c r="F38">
        <v>159</v>
      </c>
    </row>
    <row r="39" spans="1:6" x14ac:dyDescent="0.3">
      <c r="A39">
        <v>4</v>
      </c>
      <c r="B39">
        <v>116</v>
      </c>
      <c r="C39">
        <v>54</v>
      </c>
      <c r="D39">
        <v>26</v>
      </c>
      <c r="E39">
        <v>28</v>
      </c>
      <c r="F39">
        <v>62</v>
      </c>
    </row>
    <row r="40" spans="1:6" x14ac:dyDescent="0.3">
      <c r="A40">
        <v>5</v>
      </c>
      <c r="B40">
        <v>32</v>
      </c>
      <c r="C40">
        <v>7</v>
      </c>
      <c r="D40">
        <v>7</v>
      </c>
      <c r="E40">
        <v>0</v>
      </c>
      <c r="F40">
        <v>25</v>
      </c>
    </row>
    <row r="41" spans="1:6" x14ac:dyDescent="0.3">
      <c r="A41">
        <v>6</v>
      </c>
      <c r="B41">
        <v>4</v>
      </c>
      <c r="C41">
        <v>1</v>
      </c>
      <c r="D41">
        <v>1</v>
      </c>
      <c r="E41">
        <v>0</v>
      </c>
      <c r="F41">
        <v>3</v>
      </c>
    </row>
    <row r="42" spans="1:6" x14ac:dyDescent="0.3">
      <c r="A42">
        <v>2</v>
      </c>
      <c r="B42">
        <v>40</v>
      </c>
      <c r="C42">
        <v>34</v>
      </c>
      <c r="D42">
        <v>20</v>
      </c>
      <c r="E42">
        <v>14</v>
      </c>
      <c r="F42">
        <v>6</v>
      </c>
    </row>
    <row r="43" spans="1:6" x14ac:dyDescent="0.3">
      <c r="A43">
        <v>3</v>
      </c>
      <c r="B43">
        <v>346</v>
      </c>
      <c r="C43">
        <v>164</v>
      </c>
      <c r="D43">
        <v>108</v>
      </c>
      <c r="E43">
        <v>56</v>
      </c>
      <c r="F43">
        <v>182</v>
      </c>
    </row>
    <row r="44" spans="1:6" x14ac:dyDescent="0.3">
      <c r="A44">
        <v>4</v>
      </c>
      <c r="B44">
        <v>135</v>
      </c>
      <c r="C44">
        <v>65</v>
      </c>
      <c r="D44">
        <v>36</v>
      </c>
      <c r="E44">
        <v>29</v>
      </c>
      <c r="F44">
        <v>70</v>
      </c>
    </row>
    <row r="45" spans="1:6" x14ac:dyDescent="0.3">
      <c r="A45">
        <v>5</v>
      </c>
      <c r="B45">
        <v>35</v>
      </c>
      <c r="C45">
        <v>8</v>
      </c>
      <c r="D45">
        <v>8</v>
      </c>
      <c r="E45">
        <v>0</v>
      </c>
      <c r="F45">
        <v>27</v>
      </c>
    </row>
    <row r="46" spans="1:6" x14ac:dyDescent="0.3">
      <c r="A46">
        <v>6</v>
      </c>
      <c r="B46">
        <v>4</v>
      </c>
      <c r="C46">
        <v>1</v>
      </c>
      <c r="D46">
        <v>1</v>
      </c>
      <c r="E46">
        <v>0</v>
      </c>
      <c r="F46">
        <v>3</v>
      </c>
    </row>
    <row r="47" spans="1:6" x14ac:dyDescent="0.3">
      <c r="A47">
        <v>2</v>
      </c>
      <c r="B47">
        <v>44</v>
      </c>
      <c r="C47">
        <v>38</v>
      </c>
      <c r="D47">
        <v>23</v>
      </c>
      <c r="E47">
        <v>15</v>
      </c>
      <c r="F47">
        <v>6</v>
      </c>
    </row>
    <row r="48" spans="1:6" x14ac:dyDescent="0.3">
      <c r="A48">
        <v>3</v>
      </c>
      <c r="B48">
        <v>385</v>
      </c>
      <c r="C48">
        <v>179</v>
      </c>
      <c r="D48">
        <v>117</v>
      </c>
      <c r="E48">
        <v>62</v>
      </c>
      <c r="F48">
        <v>206</v>
      </c>
    </row>
    <row r="49" spans="1:6" x14ac:dyDescent="0.3">
      <c r="A49">
        <v>4</v>
      </c>
      <c r="B49">
        <v>158</v>
      </c>
      <c r="C49">
        <v>78</v>
      </c>
      <c r="D49">
        <v>45</v>
      </c>
      <c r="E49">
        <v>33</v>
      </c>
      <c r="F49">
        <v>80</v>
      </c>
    </row>
    <row r="50" spans="1:6" x14ac:dyDescent="0.3">
      <c r="A50">
        <v>5</v>
      </c>
      <c r="B50">
        <v>39</v>
      </c>
      <c r="C50">
        <v>8</v>
      </c>
      <c r="D50">
        <v>8</v>
      </c>
      <c r="E50">
        <v>0</v>
      </c>
      <c r="F50">
        <v>31</v>
      </c>
    </row>
    <row r="51" spans="1:6" x14ac:dyDescent="0.3">
      <c r="A51">
        <v>6</v>
      </c>
      <c r="B51">
        <v>4</v>
      </c>
      <c r="C51">
        <v>1</v>
      </c>
      <c r="D51">
        <v>1</v>
      </c>
      <c r="E51">
        <v>0</v>
      </c>
      <c r="F51">
        <v>3</v>
      </c>
    </row>
    <row r="52" spans="1:6" x14ac:dyDescent="0.3">
      <c r="A52">
        <v>2</v>
      </c>
      <c r="B52">
        <v>50</v>
      </c>
      <c r="C52">
        <v>44</v>
      </c>
      <c r="D52">
        <v>26</v>
      </c>
      <c r="E52">
        <v>18</v>
      </c>
      <c r="F52">
        <v>6</v>
      </c>
    </row>
    <row r="53" spans="1:6" x14ac:dyDescent="0.3">
      <c r="A53">
        <v>3</v>
      </c>
      <c r="B53">
        <v>429</v>
      </c>
      <c r="C53">
        <v>195</v>
      </c>
      <c r="D53">
        <v>126</v>
      </c>
      <c r="E53">
        <v>69</v>
      </c>
      <c r="F53">
        <v>234</v>
      </c>
    </row>
    <row r="54" spans="1:6" x14ac:dyDescent="0.3">
      <c r="A54">
        <v>4</v>
      </c>
      <c r="B54">
        <v>172</v>
      </c>
      <c r="C54">
        <v>84</v>
      </c>
      <c r="D54">
        <v>51</v>
      </c>
      <c r="E54">
        <v>33</v>
      </c>
      <c r="F54">
        <v>88</v>
      </c>
    </row>
    <row r="55" spans="1:6" x14ac:dyDescent="0.3">
      <c r="A55">
        <v>5</v>
      </c>
      <c r="B55">
        <v>43</v>
      </c>
      <c r="C55">
        <v>8</v>
      </c>
      <c r="D55">
        <v>8</v>
      </c>
      <c r="E55">
        <v>0</v>
      </c>
      <c r="F55">
        <v>35</v>
      </c>
    </row>
    <row r="56" spans="1:6" x14ac:dyDescent="0.3">
      <c r="A56">
        <v>6</v>
      </c>
      <c r="B56">
        <v>6</v>
      </c>
      <c r="C56">
        <v>2</v>
      </c>
      <c r="D56">
        <v>2</v>
      </c>
      <c r="E56">
        <v>0</v>
      </c>
      <c r="F56">
        <v>4</v>
      </c>
    </row>
    <row r="57" spans="1:6" x14ac:dyDescent="0.3">
      <c r="A57">
        <v>2</v>
      </c>
      <c r="B57">
        <v>53</v>
      </c>
      <c r="C57">
        <v>47</v>
      </c>
      <c r="D57">
        <v>29</v>
      </c>
      <c r="E57">
        <v>18</v>
      </c>
      <c r="F57">
        <v>6</v>
      </c>
    </row>
    <row r="58" spans="1:6" x14ac:dyDescent="0.3">
      <c r="A58">
        <v>3</v>
      </c>
      <c r="B58">
        <v>479</v>
      </c>
      <c r="C58">
        <v>218</v>
      </c>
      <c r="D58">
        <v>139</v>
      </c>
      <c r="E58">
        <v>79</v>
      </c>
      <c r="F58">
        <v>261</v>
      </c>
    </row>
    <row r="59" spans="1:6" x14ac:dyDescent="0.3">
      <c r="A59">
        <v>4</v>
      </c>
      <c r="B59">
        <v>185</v>
      </c>
      <c r="C59">
        <v>92</v>
      </c>
      <c r="D59">
        <v>56</v>
      </c>
      <c r="E59">
        <v>36</v>
      </c>
      <c r="F59">
        <v>93</v>
      </c>
    </row>
    <row r="60" spans="1:6" x14ac:dyDescent="0.3">
      <c r="A60">
        <v>5</v>
      </c>
      <c r="B60">
        <v>46</v>
      </c>
      <c r="C60">
        <v>8</v>
      </c>
      <c r="D60">
        <v>8</v>
      </c>
      <c r="E60">
        <v>0</v>
      </c>
      <c r="F60">
        <v>38</v>
      </c>
    </row>
    <row r="61" spans="1:6" x14ac:dyDescent="0.3">
      <c r="A61">
        <v>6</v>
      </c>
      <c r="B61">
        <v>7</v>
      </c>
      <c r="C61">
        <v>2</v>
      </c>
      <c r="D61">
        <v>2</v>
      </c>
      <c r="E61">
        <v>0</v>
      </c>
      <c r="F61">
        <v>5</v>
      </c>
    </row>
    <row r="62" spans="1:6" x14ac:dyDescent="0.3">
      <c r="A62">
        <v>2</v>
      </c>
      <c r="B62">
        <v>56</v>
      </c>
      <c r="C62">
        <v>50</v>
      </c>
      <c r="D62">
        <v>32</v>
      </c>
      <c r="E62">
        <v>18</v>
      </c>
      <c r="F62">
        <v>6</v>
      </c>
    </row>
    <row r="63" spans="1:6" x14ac:dyDescent="0.3">
      <c r="A63">
        <v>3</v>
      </c>
      <c r="B63">
        <v>516</v>
      </c>
      <c r="C63">
        <v>236</v>
      </c>
      <c r="D63">
        <v>154</v>
      </c>
      <c r="E63">
        <v>82</v>
      </c>
      <c r="F63">
        <v>280</v>
      </c>
    </row>
    <row r="64" spans="1:6" x14ac:dyDescent="0.3">
      <c r="A64">
        <v>4</v>
      </c>
      <c r="B64">
        <v>209</v>
      </c>
      <c r="C64">
        <v>103</v>
      </c>
      <c r="D64">
        <v>61</v>
      </c>
      <c r="E64">
        <v>42</v>
      </c>
      <c r="F64">
        <v>106</v>
      </c>
    </row>
    <row r="65" spans="1:6" x14ac:dyDescent="0.3">
      <c r="A65">
        <v>5</v>
      </c>
      <c r="B65">
        <v>52</v>
      </c>
      <c r="C65">
        <v>9</v>
      </c>
      <c r="D65">
        <v>9</v>
      </c>
      <c r="E65">
        <v>0</v>
      </c>
      <c r="F65">
        <v>43</v>
      </c>
    </row>
    <row r="66" spans="1:6" x14ac:dyDescent="0.3">
      <c r="A66">
        <v>6</v>
      </c>
      <c r="B66">
        <v>7</v>
      </c>
      <c r="C66">
        <v>2</v>
      </c>
      <c r="D66">
        <v>2</v>
      </c>
      <c r="E66">
        <v>0</v>
      </c>
      <c r="F66">
        <v>5</v>
      </c>
    </row>
    <row r="67" spans="1:6" x14ac:dyDescent="0.3">
      <c r="A67">
        <v>2</v>
      </c>
      <c r="B67">
        <v>60</v>
      </c>
      <c r="C67">
        <v>54</v>
      </c>
      <c r="D67">
        <v>34</v>
      </c>
      <c r="E67">
        <v>20</v>
      </c>
      <c r="F67">
        <v>6</v>
      </c>
    </row>
    <row r="68" spans="1:6" x14ac:dyDescent="0.3">
      <c r="A68">
        <v>3</v>
      </c>
      <c r="B68">
        <v>558</v>
      </c>
      <c r="C68">
        <v>259</v>
      </c>
      <c r="D68">
        <v>168</v>
      </c>
      <c r="E68">
        <v>91</v>
      </c>
      <c r="F68">
        <v>299</v>
      </c>
    </row>
    <row r="69" spans="1:6" x14ac:dyDescent="0.3">
      <c r="A69">
        <v>4</v>
      </c>
      <c r="B69">
        <v>232</v>
      </c>
      <c r="C69">
        <v>113</v>
      </c>
      <c r="D69">
        <v>68</v>
      </c>
      <c r="E69">
        <v>45</v>
      </c>
      <c r="F69">
        <v>119</v>
      </c>
    </row>
    <row r="70" spans="1:6" x14ac:dyDescent="0.3">
      <c r="A70">
        <v>5</v>
      </c>
      <c r="B70">
        <v>52</v>
      </c>
      <c r="C70">
        <v>9</v>
      </c>
      <c r="D70">
        <v>9</v>
      </c>
      <c r="E70">
        <v>0</v>
      </c>
      <c r="F70">
        <v>43</v>
      </c>
    </row>
    <row r="71" spans="1:6" x14ac:dyDescent="0.3">
      <c r="A71">
        <v>6</v>
      </c>
      <c r="B71">
        <v>8</v>
      </c>
      <c r="C71">
        <v>2</v>
      </c>
      <c r="D71">
        <v>2</v>
      </c>
      <c r="E71">
        <v>0</v>
      </c>
      <c r="F71">
        <v>6</v>
      </c>
    </row>
    <row r="72" spans="1:6" x14ac:dyDescent="0.3">
      <c r="A72">
        <v>2</v>
      </c>
      <c r="B72">
        <v>64</v>
      </c>
      <c r="C72">
        <v>57</v>
      </c>
      <c r="D72">
        <v>35</v>
      </c>
      <c r="E72">
        <v>22</v>
      </c>
      <c r="F72">
        <v>7</v>
      </c>
    </row>
    <row r="73" spans="1:6" x14ac:dyDescent="0.3">
      <c r="A73">
        <v>3</v>
      </c>
      <c r="B73">
        <v>598</v>
      </c>
      <c r="C73">
        <v>280</v>
      </c>
      <c r="D73">
        <v>184</v>
      </c>
      <c r="E73">
        <v>96</v>
      </c>
      <c r="F73">
        <v>318</v>
      </c>
    </row>
    <row r="74" spans="1:6" x14ac:dyDescent="0.3">
      <c r="A74">
        <v>4</v>
      </c>
      <c r="B74">
        <v>253</v>
      </c>
      <c r="C74">
        <v>125</v>
      </c>
      <c r="D74">
        <v>78</v>
      </c>
      <c r="E74">
        <v>47</v>
      </c>
      <c r="F74">
        <v>128</v>
      </c>
    </row>
    <row r="75" spans="1:6" x14ac:dyDescent="0.3">
      <c r="A75">
        <v>5</v>
      </c>
      <c r="B75">
        <v>57</v>
      </c>
      <c r="C75">
        <v>13</v>
      </c>
      <c r="D75">
        <v>13</v>
      </c>
      <c r="E75">
        <v>0</v>
      </c>
      <c r="F75">
        <v>44</v>
      </c>
    </row>
    <row r="76" spans="1:6" x14ac:dyDescent="0.3">
      <c r="A76">
        <v>6</v>
      </c>
      <c r="B76">
        <v>8</v>
      </c>
      <c r="C76">
        <v>2</v>
      </c>
      <c r="D76">
        <v>2</v>
      </c>
      <c r="E76">
        <v>0</v>
      </c>
      <c r="F76">
        <v>6</v>
      </c>
    </row>
    <row r="77" spans="1:6" x14ac:dyDescent="0.3">
      <c r="A77">
        <v>2</v>
      </c>
      <c r="B77">
        <v>66</v>
      </c>
      <c r="C77">
        <v>59</v>
      </c>
      <c r="D77">
        <v>36</v>
      </c>
      <c r="E77">
        <v>23</v>
      </c>
      <c r="F77">
        <v>7</v>
      </c>
    </row>
    <row r="78" spans="1:6" x14ac:dyDescent="0.3">
      <c r="A78">
        <v>3</v>
      </c>
      <c r="B78">
        <v>641</v>
      </c>
      <c r="C78">
        <v>303</v>
      </c>
      <c r="D78">
        <v>200</v>
      </c>
      <c r="E78">
        <v>103</v>
      </c>
      <c r="F78">
        <v>338</v>
      </c>
    </row>
    <row r="79" spans="1:6" x14ac:dyDescent="0.3">
      <c r="A79">
        <v>4</v>
      </c>
      <c r="B79">
        <v>271</v>
      </c>
      <c r="C79">
        <v>133</v>
      </c>
      <c r="D79">
        <v>84</v>
      </c>
      <c r="E79">
        <v>49</v>
      </c>
      <c r="F79">
        <v>138</v>
      </c>
    </row>
    <row r="80" spans="1:6" x14ac:dyDescent="0.3">
      <c r="A80">
        <v>5</v>
      </c>
      <c r="B80">
        <v>63</v>
      </c>
      <c r="C80">
        <v>13</v>
      </c>
      <c r="D80">
        <v>13</v>
      </c>
      <c r="E80">
        <v>0</v>
      </c>
      <c r="F80">
        <v>50</v>
      </c>
    </row>
    <row r="81" spans="1:6" x14ac:dyDescent="0.3">
      <c r="A81">
        <v>6</v>
      </c>
      <c r="B81">
        <v>9</v>
      </c>
      <c r="C81">
        <v>3</v>
      </c>
      <c r="D81">
        <v>3</v>
      </c>
      <c r="E81">
        <v>0</v>
      </c>
      <c r="F81">
        <v>6</v>
      </c>
    </row>
    <row r="82" spans="1:6" x14ac:dyDescent="0.3">
      <c r="A82">
        <v>2</v>
      </c>
      <c r="B82">
        <v>73</v>
      </c>
      <c r="C82">
        <v>64</v>
      </c>
      <c r="D82">
        <v>39</v>
      </c>
      <c r="E82">
        <v>25</v>
      </c>
      <c r="F82">
        <v>9</v>
      </c>
    </row>
    <row r="83" spans="1:6" x14ac:dyDescent="0.3">
      <c r="A83">
        <v>3</v>
      </c>
      <c r="B83">
        <v>680</v>
      </c>
      <c r="C83">
        <v>320</v>
      </c>
      <c r="D83">
        <v>209</v>
      </c>
      <c r="E83">
        <v>111</v>
      </c>
      <c r="F83">
        <v>360</v>
      </c>
    </row>
    <row r="84" spans="1:6" x14ac:dyDescent="0.3">
      <c r="A84">
        <v>4</v>
      </c>
      <c r="B84">
        <v>287</v>
      </c>
      <c r="C84">
        <v>142</v>
      </c>
      <c r="D84">
        <v>90</v>
      </c>
      <c r="E84">
        <v>52</v>
      </c>
      <c r="F84">
        <v>145</v>
      </c>
    </row>
    <row r="85" spans="1:6" x14ac:dyDescent="0.3">
      <c r="A85">
        <v>5</v>
      </c>
      <c r="B85">
        <v>71</v>
      </c>
      <c r="C85">
        <v>15</v>
      </c>
      <c r="D85">
        <v>15</v>
      </c>
      <c r="E85">
        <v>0</v>
      </c>
      <c r="F85">
        <v>56</v>
      </c>
    </row>
    <row r="86" spans="1:6" x14ac:dyDescent="0.3">
      <c r="A86">
        <v>6</v>
      </c>
      <c r="B86">
        <v>9</v>
      </c>
      <c r="C86">
        <v>3</v>
      </c>
      <c r="D86">
        <v>3</v>
      </c>
      <c r="E86">
        <v>0</v>
      </c>
      <c r="F86">
        <v>6</v>
      </c>
    </row>
    <row r="87" spans="1:6" x14ac:dyDescent="0.3">
      <c r="A87">
        <v>2</v>
      </c>
      <c r="B87">
        <v>78</v>
      </c>
      <c r="C87">
        <v>68</v>
      </c>
      <c r="D87">
        <v>42</v>
      </c>
      <c r="E87">
        <v>26</v>
      </c>
      <c r="F87">
        <v>10</v>
      </c>
    </row>
    <row r="88" spans="1:6" x14ac:dyDescent="0.3">
      <c r="A88">
        <v>3</v>
      </c>
      <c r="B88">
        <v>720</v>
      </c>
      <c r="C88">
        <v>343</v>
      </c>
      <c r="D88">
        <v>225</v>
      </c>
      <c r="E88">
        <v>118</v>
      </c>
      <c r="F88">
        <v>377</v>
      </c>
    </row>
    <row r="89" spans="1:6" x14ac:dyDescent="0.3">
      <c r="A89">
        <v>4</v>
      </c>
      <c r="B89">
        <v>308</v>
      </c>
      <c r="C89">
        <v>155</v>
      </c>
      <c r="D89">
        <v>97</v>
      </c>
      <c r="E89">
        <v>58</v>
      </c>
      <c r="F89">
        <v>153</v>
      </c>
    </row>
    <row r="90" spans="1:6" x14ac:dyDescent="0.3">
      <c r="A90">
        <v>5</v>
      </c>
      <c r="B90">
        <v>73</v>
      </c>
      <c r="C90">
        <v>16</v>
      </c>
      <c r="D90">
        <v>16</v>
      </c>
      <c r="E90">
        <v>0</v>
      </c>
      <c r="F90">
        <v>57</v>
      </c>
    </row>
    <row r="91" spans="1:6" x14ac:dyDescent="0.3">
      <c r="A91">
        <v>6</v>
      </c>
      <c r="B91">
        <v>10</v>
      </c>
      <c r="C91">
        <v>3</v>
      </c>
      <c r="D91">
        <v>3</v>
      </c>
      <c r="E91">
        <v>0</v>
      </c>
      <c r="F91">
        <v>7</v>
      </c>
    </row>
    <row r="92" spans="1:6" x14ac:dyDescent="0.3">
      <c r="A92">
        <v>7</v>
      </c>
      <c r="B92">
        <v>1</v>
      </c>
      <c r="C92">
        <v>0</v>
      </c>
      <c r="D92">
        <v>0</v>
      </c>
      <c r="E92">
        <v>0</v>
      </c>
      <c r="F92">
        <v>1</v>
      </c>
    </row>
    <row r="93" spans="1:6" x14ac:dyDescent="0.3">
      <c r="A93">
        <v>2</v>
      </c>
      <c r="B93">
        <v>83</v>
      </c>
      <c r="C93">
        <v>72</v>
      </c>
      <c r="D93">
        <v>46</v>
      </c>
      <c r="E93">
        <v>26</v>
      </c>
      <c r="F93">
        <v>11</v>
      </c>
    </row>
    <row r="94" spans="1:6" x14ac:dyDescent="0.3">
      <c r="A94">
        <v>3</v>
      </c>
      <c r="B94">
        <v>762</v>
      </c>
      <c r="C94">
        <v>365</v>
      </c>
      <c r="D94">
        <v>239</v>
      </c>
      <c r="E94">
        <v>126</v>
      </c>
      <c r="F94">
        <v>397</v>
      </c>
    </row>
    <row r="95" spans="1:6" x14ac:dyDescent="0.3">
      <c r="A95">
        <v>4</v>
      </c>
      <c r="B95">
        <v>326</v>
      </c>
      <c r="C95">
        <v>160</v>
      </c>
      <c r="D95">
        <v>100</v>
      </c>
      <c r="E95">
        <v>60</v>
      </c>
      <c r="F95">
        <v>166</v>
      </c>
    </row>
    <row r="96" spans="1:6" x14ac:dyDescent="0.3">
      <c r="A96">
        <v>5</v>
      </c>
      <c r="B96">
        <v>77</v>
      </c>
      <c r="C96">
        <v>17</v>
      </c>
      <c r="D96">
        <v>17</v>
      </c>
      <c r="E96">
        <v>0</v>
      </c>
      <c r="F96">
        <v>60</v>
      </c>
    </row>
    <row r="97" spans="1:6" x14ac:dyDescent="0.3">
      <c r="A97">
        <v>6</v>
      </c>
      <c r="B97">
        <v>11</v>
      </c>
      <c r="C97">
        <v>4</v>
      </c>
      <c r="D97">
        <v>4</v>
      </c>
      <c r="E97">
        <v>0</v>
      </c>
      <c r="F97">
        <v>7</v>
      </c>
    </row>
    <row r="98" spans="1:6" x14ac:dyDescent="0.3">
      <c r="A98">
        <v>7</v>
      </c>
      <c r="B98">
        <v>1</v>
      </c>
      <c r="C98">
        <v>0</v>
      </c>
      <c r="D98">
        <v>0</v>
      </c>
      <c r="E98">
        <v>0</v>
      </c>
      <c r="F98">
        <v>1</v>
      </c>
    </row>
    <row r="99" spans="1:6" x14ac:dyDescent="0.3">
      <c r="A99">
        <v>2</v>
      </c>
      <c r="B99">
        <v>94</v>
      </c>
      <c r="C99">
        <v>82</v>
      </c>
      <c r="D99">
        <v>52</v>
      </c>
      <c r="E99">
        <v>30</v>
      </c>
      <c r="F99">
        <v>12</v>
      </c>
    </row>
    <row r="100" spans="1:6" x14ac:dyDescent="0.3">
      <c r="A100">
        <v>3</v>
      </c>
      <c r="B100">
        <v>796</v>
      </c>
      <c r="C100">
        <v>379</v>
      </c>
      <c r="D100">
        <v>248</v>
      </c>
      <c r="E100">
        <v>131</v>
      </c>
      <c r="F100">
        <v>417</v>
      </c>
    </row>
    <row r="101" spans="1:6" x14ac:dyDescent="0.3">
      <c r="A101">
        <v>4</v>
      </c>
      <c r="B101">
        <v>343</v>
      </c>
      <c r="C101">
        <v>167</v>
      </c>
      <c r="D101">
        <v>105</v>
      </c>
      <c r="E101">
        <v>62</v>
      </c>
      <c r="F101">
        <v>176</v>
      </c>
    </row>
    <row r="102" spans="1:6" x14ac:dyDescent="0.3">
      <c r="A102">
        <v>5</v>
      </c>
      <c r="B102">
        <v>84</v>
      </c>
      <c r="C102">
        <v>17</v>
      </c>
      <c r="D102">
        <v>17</v>
      </c>
      <c r="E102">
        <v>0</v>
      </c>
      <c r="F102">
        <v>67</v>
      </c>
    </row>
    <row r="103" spans="1:6" x14ac:dyDescent="0.3">
      <c r="A103">
        <v>6</v>
      </c>
      <c r="B103">
        <v>12</v>
      </c>
      <c r="C103">
        <v>5</v>
      </c>
      <c r="D103">
        <v>5</v>
      </c>
      <c r="E103">
        <v>0</v>
      </c>
      <c r="F103">
        <v>7</v>
      </c>
    </row>
    <row r="104" spans="1:6" x14ac:dyDescent="0.3">
      <c r="A104">
        <v>7</v>
      </c>
      <c r="B104">
        <v>1</v>
      </c>
      <c r="C104">
        <v>0</v>
      </c>
      <c r="D104">
        <v>0</v>
      </c>
      <c r="E104">
        <v>0</v>
      </c>
      <c r="F104">
        <v>1</v>
      </c>
    </row>
    <row r="105" spans="1:6" x14ac:dyDescent="0.3">
      <c r="A105">
        <v>2</v>
      </c>
      <c r="B105">
        <v>97</v>
      </c>
      <c r="C105">
        <v>85</v>
      </c>
      <c r="D105">
        <v>54</v>
      </c>
      <c r="E105">
        <v>31</v>
      </c>
      <c r="F105">
        <v>12</v>
      </c>
    </row>
    <row r="106" spans="1:6" x14ac:dyDescent="0.3">
      <c r="A106">
        <v>3</v>
      </c>
      <c r="B106">
        <v>833</v>
      </c>
      <c r="C106">
        <v>400</v>
      </c>
      <c r="D106">
        <v>262</v>
      </c>
      <c r="E106">
        <v>138</v>
      </c>
      <c r="F106">
        <v>433</v>
      </c>
    </row>
    <row r="107" spans="1:6" x14ac:dyDescent="0.3">
      <c r="A107">
        <v>4</v>
      </c>
      <c r="B107">
        <v>363</v>
      </c>
      <c r="C107">
        <v>176</v>
      </c>
      <c r="D107">
        <v>111</v>
      </c>
      <c r="E107">
        <v>65</v>
      </c>
      <c r="F107">
        <v>187</v>
      </c>
    </row>
    <row r="108" spans="1:6" x14ac:dyDescent="0.3">
      <c r="A108">
        <v>5</v>
      </c>
      <c r="B108">
        <v>93</v>
      </c>
      <c r="C108">
        <v>18</v>
      </c>
      <c r="D108">
        <v>18</v>
      </c>
      <c r="E108">
        <v>0</v>
      </c>
      <c r="F108">
        <v>75</v>
      </c>
    </row>
    <row r="109" spans="1:6" x14ac:dyDescent="0.3">
      <c r="A109">
        <v>6</v>
      </c>
      <c r="B109">
        <v>13</v>
      </c>
      <c r="C109">
        <v>5</v>
      </c>
      <c r="D109">
        <v>5</v>
      </c>
      <c r="E109">
        <v>0</v>
      </c>
      <c r="F109">
        <v>8</v>
      </c>
    </row>
    <row r="110" spans="1:6" x14ac:dyDescent="0.3">
      <c r="A110">
        <v>7</v>
      </c>
      <c r="B110">
        <v>1</v>
      </c>
      <c r="C110">
        <v>0</v>
      </c>
      <c r="D110">
        <v>0</v>
      </c>
      <c r="E110">
        <v>0</v>
      </c>
      <c r="F110">
        <v>1</v>
      </c>
    </row>
    <row r="111" spans="1:6" x14ac:dyDescent="0.3">
      <c r="A111">
        <v>2</v>
      </c>
      <c r="B111">
        <v>101</v>
      </c>
      <c r="C111">
        <v>88</v>
      </c>
      <c r="D111">
        <v>56</v>
      </c>
      <c r="E111">
        <v>32</v>
      </c>
      <c r="F111">
        <v>13</v>
      </c>
    </row>
    <row r="112" spans="1:6" x14ac:dyDescent="0.3">
      <c r="A112">
        <v>3</v>
      </c>
      <c r="B112">
        <v>872</v>
      </c>
      <c r="C112">
        <v>421</v>
      </c>
      <c r="D112">
        <v>279</v>
      </c>
      <c r="E112">
        <v>142</v>
      </c>
      <c r="F112">
        <v>451</v>
      </c>
    </row>
    <row r="113" spans="1:6" x14ac:dyDescent="0.3">
      <c r="A113">
        <v>4</v>
      </c>
      <c r="B113">
        <v>385</v>
      </c>
      <c r="C113">
        <v>190</v>
      </c>
      <c r="D113">
        <v>120</v>
      </c>
      <c r="E113">
        <v>70</v>
      </c>
      <c r="F113">
        <v>195</v>
      </c>
    </row>
    <row r="114" spans="1:6" x14ac:dyDescent="0.3">
      <c r="A114">
        <v>5</v>
      </c>
      <c r="B114">
        <v>98</v>
      </c>
      <c r="C114">
        <v>20</v>
      </c>
      <c r="D114">
        <v>20</v>
      </c>
      <c r="E114">
        <v>0</v>
      </c>
      <c r="F114">
        <v>78</v>
      </c>
    </row>
    <row r="115" spans="1:6" x14ac:dyDescent="0.3">
      <c r="A115">
        <v>6</v>
      </c>
      <c r="B115">
        <v>13</v>
      </c>
      <c r="C115">
        <v>5</v>
      </c>
      <c r="D115">
        <v>5</v>
      </c>
      <c r="E115">
        <v>0</v>
      </c>
      <c r="F115">
        <v>8</v>
      </c>
    </row>
    <row r="116" spans="1:6" x14ac:dyDescent="0.3">
      <c r="A116">
        <v>7</v>
      </c>
      <c r="B116">
        <v>1</v>
      </c>
      <c r="C116">
        <v>0</v>
      </c>
      <c r="D116">
        <v>0</v>
      </c>
      <c r="E116">
        <v>0</v>
      </c>
      <c r="F116">
        <v>1</v>
      </c>
    </row>
    <row r="117" spans="1:6" x14ac:dyDescent="0.3">
      <c r="A117">
        <v>2</v>
      </c>
      <c r="B117">
        <v>106</v>
      </c>
      <c r="C117">
        <v>93</v>
      </c>
      <c r="D117">
        <v>59</v>
      </c>
      <c r="E117">
        <v>34</v>
      </c>
      <c r="F117">
        <v>13</v>
      </c>
    </row>
    <row r="118" spans="1:6" x14ac:dyDescent="0.3">
      <c r="A118">
        <v>3</v>
      </c>
      <c r="B118">
        <v>919</v>
      </c>
      <c r="C118">
        <v>439</v>
      </c>
      <c r="D118">
        <v>289</v>
      </c>
      <c r="E118">
        <v>150</v>
      </c>
      <c r="F118">
        <v>480</v>
      </c>
    </row>
    <row r="119" spans="1:6" x14ac:dyDescent="0.3">
      <c r="A119">
        <v>4</v>
      </c>
      <c r="B119">
        <v>400</v>
      </c>
      <c r="C119">
        <v>195</v>
      </c>
      <c r="D119">
        <v>124</v>
      </c>
      <c r="E119">
        <v>71</v>
      </c>
      <c r="F119">
        <v>205</v>
      </c>
    </row>
    <row r="120" spans="1:6" x14ac:dyDescent="0.3">
      <c r="A120">
        <v>5</v>
      </c>
      <c r="B120">
        <v>101</v>
      </c>
      <c r="C120">
        <v>20</v>
      </c>
      <c r="D120">
        <v>20</v>
      </c>
      <c r="E120">
        <v>0</v>
      </c>
      <c r="F120">
        <v>81</v>
      </c>
    </row>
    <row r="121" spans="1:6" x14ac:dyDescent="0.3">
      <c r="A121">
        <v>6</v>
      </c>
      <c r="B121">
        <v>13</v>
      </c>
      <c r="C121">
        <v>5</v>
      </c>
      <c r="D121">
        <v>5</v>
      </c>
      <c r="E121">
        <v>0</v>
      </c>
      <c r="F121">
        <v>8</v>
      </c>
    </row>
    <row r="122" spans="1:6" x14ac:dyDescent="0.3">
      <c r="A122">
        <v>7</v>
      </c>
      <c r="B122">
        <v>1</v>
      </c>
      <c r="C122">
        <v>0</v>
      </c>
      <c r="D122">
        <v>0</v>
      </c>
      <c r="E122">
        <v>0</v>
      </c>
      <c r="F122">
        <v>1</v>
      </c>
    </row>
    <row r="123" spans="1:6" x14ac:dyDescent="0.3">
      <c r="A123">
        <v>2</v>
      </c>
      <c r="B123">
        <v>114</v>
      </c>
      <c r="C123">
        <v>101</v>
      </c>
      <c r="D123">
        <v>63</v>
      </c>
      <c r="E123">
        <v>38</v>
      </c>
      <c r="F123">
        <v>13</v>
      </c>
    </row>
    <row r="124" spans="1:6" x14ac:dyDescent="0.3">
      <c r="A124">
        <v>3</v>
      </c>
      <c r="B124">
        <v>961</v>
      </c>
      <c r="C124">
        <v>457</v>
      </c>
      <c r="D124">
        <v>302</v>
      </c>
      <c r="E124">
        <v>155</v>
      </c>
      <c r="F124">
        <v>504</v>
      </c>
    </row>
    <row r="125" spans="1:6" x14ac:dyDescent="0.3">
      <c r="A125">
        <v>4</v>
      </c>
      <c r="B125">
        <v>413</v>
      </c>
      <c r="C125">
        <v>203</v>
      </c>
      <c r="D125">
        <v>128</v>
      </c>
      <c r="E125">
        <v>75</v>
      </c>
      <c r="F125">
        <v>210</v>
      </c>
    </row>
    <row r="126" spans="1:6" x14ac:dyDescent="0.3">
      <c r="A126">
        <v>5</v>
      </c>
      <c r="B126">
        <v>107</v>
      </c>
      <c r="C126">
        <v>23</v>
      </c>
      <c r="D126">
        <v>23</v>
      </c>
      <c r="E126">
        <v>0</v>
      </c>
      <c r="F126">
        <v>84</v>
      </c>
    </row>
    <row r="127" spans="1:6" x14ac:dyDescent="0.3">
      <c r="A127">
        <v>6</v>
      </c>
      <c r="B127">
        <v>14</v>
      </c>
      <c r="C127">
        <v>5</v>
      </c>
      <c r="D127">
        <v>5</v>
      </c>
      <c r="E127">
        <v>0</v>
      </c>
      <c r="F127">
        <v>9</v>
      </c>
    </row>
    <row r="128" spans="1:6" x14ac:dyDescent="0.3">
      <c r="A128">
        <v>7</v>
      </c>
      <c r="B128">
        <v>1</v>
      </c>
      <c r="C128">
        <v>0</v>
      </c>
      <c r="D128">
        <v>0</v>
      </c>
      <c r="E128">
        <v>0</v>
      </c>
      <c r="F128">
        <v>1</v>
      </c>
    </row>
    <row r="129" spans="1:6" x14ac:dyDescent="0.3">
      <c r="A129">
        <v>2</v>
      </c>
      <c r="B129">
        <v>119</v>
      </c>
      <c r="C129">
        <v>105</v>
      </c>
      <c r="D129">
        <v>65</v>
      </c>
      <c r="E129">
        <v>40</v>
      </c>
      <c r="F129">
        <v>14</v>
      </c>
    </row>
    <row r="130" spans="1:6" x14ac:dyDescent="0.3">
      <c r="A130">
        <v>3</v>
      </c>
      <c r="B130">
        <v>1001</v>
      </c>
      <c r="C130">
        <v>475</v>
      </c>
      <c r="D130">
        <v>316</v>
      </c>
      <c r="E130">
        <v>159</v>
      </c>
      <c r="F130">
        <v>526</v>
      </c>
    </row>
    <row r="131" spans="1:6" x14ac:dyDescent="0.3">
      <c r="A131">
        <v>4</v>
      </c>
      <c r="B131">
        <v>430</v>
      </c>
      <c r="C131">
        <v>209</v>
      </c>
      <c r="D131">
        <v>131</v>
      </c>
      <c r="E131">
        <v>78</v>
      </c>
      <c r="F131">
        <v>221</v>
      </c>
    </row>
    <row r="132" spans="1:6" x14ac:dyDescent="0.3">
      <c r="A132">
        <v>5</v>
      </c>
      <c r="B132">
        <v>115</v>
      </c>
      <c r="C132">
        <v>27</v>
      </c>
      <c r="D132">
        <v>27</v>
      </c>
      <c r="E132">
        <v>0</v>
      </c>
      <c r="F132">
        <v>88</v>
      </c>
    </row>
    <row r="133" spans="1:6" x14ac:dyDescent="0.3">
      <c r="A133">
        <v>6</v>
      </c>
      <c r="B133">
        <v>14</v>
      </c>
      <c r="C133">
        <v>5</v>
      </c>
      <c r="D133">
        <v>5</v>
      </c>
      <c r="E133">
        <v>0</v>
      </c>
      <c r="F133">
        <v>9</v>
      </c>
    </row>
    <row r="134" spans="1:6" x14ac:dyDescent="0.3">
      <c r="A134">
        <v>7</v>
      </c>
      <c r="B134">
        <v>1</v>
      </c>
      <c r="C134">
        <v>0</v>
      </c>
      <c r="D134">
        <v>0</v>
      </c>
      <c r="E134">
        <v>0</v>
      </c>
      <c r="F134">
        <v>1</v>
      </c>
    </row>
    <row r="135" spans="1:6" x14ac:dyDescent="0.3">
      <c r="A135">
        <v>2</v>
      </c>
      <c r="B135">
        <v>123</v>
      </c>
      <c r="C135">
        <v>108</v>
      </c>
      <c r="D135">
        <v>68</v>
      </c>
      <c r="E135">
        <v>40</v>
      </c>
      <c r="F135">
        <v>15</v>
      </c>
    </row>
    <row r="136" spans="1:6" x14ac:dyDescent="0.3">
      <c r="A136">
        <v>3</v>
      </c>
      <c r="B136">
        <v>1046</v>
      </c>
      <c r="C136">
        <v>500</v>
      </c>
      <c r="D136">
        <v>328</v>
      </c>
      <c r="E136">
        <v>172</v>
      </c>
      <c r="F136">
        <v>546</v>
      </c>
    </row>
    <row r="137" spans="1:6" x14ac:dyDescent="0.3">
      <c r="A137">
        <v>4</v>
      </c>
      <c r="B137">
        <v>450</v>
      </c>
      <c r="C137">
        <v>220</v>
      </c>
      <c r="D137">
        <v>138</v>
      </c>
      <c r="E137">
        <v>82</v>
      </c>
      <c r="F137">
        <v>230</v>
      </c>
    </row>
    <row r="138" spans="1:6" x14ac:dyDescent="0.3">
      <c r="A138">
        <v>5</v>
      </c>
      <c r="B138">
        <v>116</v>
      </c>
      <c r="C138">
        <v>28</v>
      </c>
      <c r="D138">
        <v>28</v>
      </c>
      <c r="E138">
        <v>0</v>
      </c>
      <c r="F138">
        <v>88</v>
      </c>
    </row>
    <row r="139" spans="1:6" x14ac:dyDescent="0.3">
      <c r="A139">
        <v>6</v>
      </c>
      <c r="B139">
        <v>14</v>
      </c>
      <c r="C139">
        <v>5</v>
      </c>
      <c r="D139">
        <v>5</v>
      </c>
      <c r="E139">
        <v>0</v>
      </c>
      <c r="F139">
        <v>9</v>
      </c>
    </row>
    <row r="140" spans="1:6" x14ac:dyDescent="0.3">
      <c r="A140">
        <v>7</v>
      </c>
      <c r="B140">
        <v>1</v>
      </c>
      <c r="C140">
        <v>0</v>
      </c>
      <c r="D140">
        <v>0</v>
      </c>
      <c r="E140">
        <v>0</v>
      </c>
      <c r="F140">
        <v>1</v>
      </c>
    </row>
    <row r="141" spans="1:6" x14ac:dyDescent="0.3">
      <c r="A141">
        <v>2</v>
      </c>
      <c r="B141">
        <v>129</v>
      </c>
      <c r="C141">
        <v>114</v>
      </c>
      <c r="D141">
        <v>70</v>
      </c>
      <c r="E141">
        <v>44</v>
      </c>
      <c r="F141">
        <v>15</v>
      </c>
    </row>
    <row r="142" spans="1:6" x14ac:dyDescent="0.3">
      <c r="A142">
        <v>3</v>
      </c>
      <c r="B142">
        <v>1083</v>
      </c>
      <c r="C142">
        <v>523</v>
      </c>
      <c r="D142">
        <v>338</v>
      </c>
      <c r="E142">
        <v>185</v>
      </c>
      <c r="F142">
        <v>560</v>
      </c>
    </row>
    <row r="143" spans="1:6" x14ac:dyDescent="0.3">
      <c r="A143">
        <v>4</v>
      </c>
      <c r="B143">
        <v>469</v>
      </c>
      <c r="C143">
        <v>227</v>
      </c>
      <c r="D143">
        <v>144</v>
      </c>
      <c r="E143">
        <v>83</v>
      </c>
      <c r="F143">
        <v>242</v>
      </c>
    </row>
    <row r="144" spans="1:6" x14ac:dyDescent="0.3">
      <c r="A144">
        <v>5</v>
      </c>
      <c r="B144">
        <v>123</v>
      </c>
      <c r="C144">
        <v>30</v>
      </c>
      <c r="D144">
        <v>30</v>
      </c>
      <c r="E144">
        <v>0</v>
      </c>
      <c r="F144">
        <v>93</v>
      </c>
    </row>
    <row r="145" spans="1:6" x14ac:dyDescent="0.3">
      <c r="A145">
        <v>6</v>
      </c>
      <c r="B145">
        <v>15</v>
      </c>
      <c r="C145">
        <v>5</v>
      </c>
      <c r="D145">
        <v>5</v>
      </c>
      <c r="E145">
        <v>0</v>
      </c>
      <c r="F145">
        <v>10</v>
      </c>
    </row>
    <row r="146" spans="1:6" x14ac:dyDescent="0.3">
      <c r="A146">
        <v>7</v>
      </c>
      <c r="B146">
        <v>1</v>
      </c>
      <c r="C146">
        <v>0</v>
      </c>
      <c r="D146">
        <v>0</v>
      </c>
      <c r="E146">
        <v>0</v>
      </c>
      <c r="F146">
        <v>1</v>
      </c>
    </row>
    <row r="147" spans="1:6" x14ac:dyDescent="0.3">
      <c r="A147">
        <v>2</v>
      </c>
      <c r="B147">
        <v>132</v>
      </c>
      <c r="C147">
        <v>117</v>
      </c>
      <c r="D147">
        <v>73</v>
      </c>
      <c r="E147">
        <v>44</v>
      </c>
      <c r="F147">
        <v>15</v>
      </c>
    </row>
    <row r="148" spans="1:6" x14ac:dyDescent="0.3">
      <c r="A148">
        <v>3</v>
      </c>
      <c r="B148">
        <v>1127</v>
      </c>
      <c r="C148">
        <v>542</v>
      </c>
      <c r="D148">
        <v>349</v>
      </c>
      <c r="E148">
        <v>193</v>
      </c>
      <c r="F148">
        <v>585</v>
      </c>
    </row>
    <row r="149" spans="1:6" x14ac:dyDescent="0.3">
      <c r="A149">
        <v>4</v>
      </c>
      <c r="B149">
        <v>488</v>
      </c>
      <c r="C149">
        <v>238</v>
      </c>
      <c r="D149">
        <v>151</v>
      </c>
      <c r="E149">
        <v>87</v>
      </c>
      <c r="F149">
        <v>250</v>
      </c>
    </row>
    <row r="150" spans="1:6" x14ac:dyDescent="0.3">
      <c r="A150">
        <v>5</v>
      </c>
      <c r="B150">
        <v>127</v>
      </c>
      <c r="C150">
        <v>33</v>
      </c>
      <c r="D150">
        <v>33</v>
      </c>
      <c r="E150">
        <v>0</v>
      </c>
      <c r="F150">
        <v>94</v>
      </c>
    </row>
    <row r="151" spans="1:6" x14ac:dyDescent="0.3">
      <c r="A151">
        <v>6</v>
      </c>
      <c r="B151">
        <v>15</v>
      </c>
      <c r="C151">
        <v>5</v>
      </c>
      <c r="D151">
        <v>5</v>
      </c>
      <c r="E151">
        <v>0</v>
      </c>
      <c r="F151">
        <v>10</v>
      </c>
    </row>
    <row r="152" spans="1:6" x14ac:dyDescent="0.3">
      <c r="A152">
        <v>7</v>
      </c>
      <c r="B152">
        <v>1</v>
      </c>
      <c r="C152">
        <v>0</v>
      </c>
      <c r="D152">
        <v>0</v>
      </c>
      <c r="E152">
        <v>0</v>
      </c>
      <c r="F152">
        <v>1</v>
      </c>
    </row>
    <row r="153" spans="1:6" x14ac:dyDescent="0.3">
      <c r="A153">
        <v>2</v>
      </c>
      <c r="B153">
        <v>140</v>
      </c>
      <c r="C153">
        <v>125</v>
      </c>
      <c r="D153">
        <v>77</v>
      </c>
      <c r="E153">
        <v>48</v>
      </c>
      <c r="F153">
        <v>15</v>
      </c>
    </row>
    <row r="154" spans="1:6" x14ac:dyDescent="0.3">
      <c r="A154">
        <v>3</v>
      </c>
      <c r="B154">
        <v>1172</v>
      </c>
      <c r="C154">
        <v>559</v>
      </c>
      <c r="D154">
        <v>360</v>
      </c>
      <c r="E154">
        <v>199</v>
      </c>
      <c r="F154">
        <v>613</v>
      </c>
    </row>
    <row r="155" spans="1:6" x14ac:dyDescent="0.3">
      <c r="A155">
        <v>4</v>
      </c>
      <c r="B155">
        <v>500</v>
      </c>
      <c r="C155">
        <v>246</v>
      </c>
      <c r="D155">
        <v>154</v>
      </c>
      <c r="E155">
        <v>92</v>
      </c>
      <c r="F155">
        <v>254</v>
      </c>
    </row>
    <row r="156" spans="1:6" x14ac:dyDescent="0.3">
      <c r="A156">
        <v>5</v>
      </c>
      <c r="B156">
        <v>130</v>
      </c>
      <c r="C156">
        <v>36</v>
      </c>
      <c r="D156">
        <v>36</v>
      </c>
      <c r="E156">
        <v>0</v>
      </c>
      <c r="F156">
        <v>94</v>
      </c>
    </row>
    <row r="157" spans="1:6" x14ac:dyDescent="0.3">
      <c r="A157">
        <v>6</v>
      </c>
      <c r="B157">
        <v>17</v>
      </c>
      <c r="C157">
        <v>6</v>
      </c>
      <c r="D157">
        <v>6</v>
      </c>
      <c r="E157">
        <v>0</v>
      </c>
      <c r="F157">
        <v>11</v>
      </c>
    </row>
    <row r="158" spans="1:6" x14ac:dyDescent="0.3">
      <c r="A158">
        <v>7</v>
      </c>
      <c r="B158">
        <v>1</v>
      </c>
      <c r="C158">
        <v>0</v>
      </c>
      <c r="D158">
        <v>0</v>
      </c>
      <c r="E158">
        <v>0</v>
      </c>
      <c r="F158">
        <v>1</v>
      </c>
    </row>
    <row r="159" spans="1:6" x14ac:dyDescent="0.3">
      <c r="A159">
        <v>2</v>
      </c>
      <c r="B159">
        <v>146</v>
      </c>
      <c r="C159">
        <v>131</v>
      </c>
      <c r="D159">
        <v>81</v>
      </c>
      <c r="E159">
        <v>50</v>
      </c>
      <c r="F159">
        <v>15</v>
      </c>
    </row>
    <row r="160" spans="1:6" x14ac:dyDescent="0.3">
      <c r="A160">
        <v>3</v>
      </c>
      <c r="B160">
        <v>1210</v>
      </c>
      <c r="C160">
        <v>581</v>
      </c>
      <c r="D160">
        <v>373</v>
      </c>
      <c r="E160">
        <v>208</v>
      </c>
      <c r="F160">
        <v>629</v>
      </c>
    </row>
    <row r="161" spans="1:6" x14ac:dyDescent="0.3">
      <c r="A161">
        <v>4</v>
      </c>
      <c r="B161">
        <v>517</v>
      </c>
      <c r="C161">
        <v>254</v>
      </c>
      <c r="D161">
        <v>159</v>
      </c>
      <c r="E161">
        <v>95</v>
      </c>
      <c r="F161">
        <v>263</v>
      </c>
    </row>
    <row r="162" spans="1:6" x14ac:dyDescent="0.3">
      <c r="A162">
        <v>5</v>
      </c>
      <c r="B162">
        <v>138</v>
      </c>
      <c r="C162">
        <v>39</v>
      </c>
      <c r="D162">
        <v>39</v>
      </c>
      <c r="E162">
        <v>0</v>
      </c>
      <c r="F162">
        <v>99</v>
      </c>
    </row>
    <row r="163" spans="1:6" x14ac:dyDescent="0.3">
      <c r="A163">
        <v>6</v>
      </c>
      <c r="B163">
        <v>18</v>
      </c>
      <c r="C163">
        <v>6</v>
      </c>
      <c r="D163">
        <v>6</v>
      </c>
      <c r="E163">
        <v>0</v>
      </c>
      <c r="F163">
        <v>12</v>
      </c>
    </row>
    <row r="164" spans="1:6" x14ac:dyDescent="0.3">
      <c r="A164">
        <v>7</v>
      </c>
      <c r="B164">
        <v>1</v>
      </c>
      <c r="C164">
        <v>0</v>
      </c>
      <c r="D164">
        <v>0</v>
      </c>
      <c r="E164">
        <v>0</v>
      </c>
      <c r="F164">
        <v>1</v>
      </c>
    </row>
    <row r="165" spans="1:6" x14ac:dyDescent="0.3">
      <c r="A165">
        <v>2</v>
      </c>
      <c r="B165">
        <v>1</v>
      </c>
      <c r="C165">
        <v>0</v>
      </c>
      <c r="D165">
        <v>0</v>
      </c>
      <c r="E165">
        <v>0</v>
      </c>
      <c r="F165">
        <v>1</v>
      </c>
    </row>
    <row r="166" spans="1:6" x14ac:dyDescent="0.3">
      <c r="A166">
        <v>3</v>
      </c>
      <c r="B166">
        <v>45</v>
      </c>
      <c r="C166">
        <v>22</v>
      </c>
      <c r="D166">
        <v>10</v>
      </c>
      <c r="E166">
        <v>12</v>
      </c>
      <c r="F166">
        <v>23</v>
      </c>
    </row>
    <row r="167" spans="1:6" x14ac:dyDescent="0.3">
      <c r="A167">
        <v>4</v>
      </c>
      <c r="B167">
        <v>17</v>
      </c>
      <c r="C167">
        <v>9</v>
      </c>
      <c r="D167">
        <v>5</v>
      </c>
      <c r="E167">
        <v>4</v>
      </c>
      <c r="F167">
        <v>8</v>
      </c>
    </row>
    <row r="168" spans="1:6" x14ac:dyDescent="0.3">
      <c r="A168">
        <v>5</v>
      </c>
      <c r="B168">
        <v>7</v>
      </c>
      <c r="C168">
        <v>2</v>
      </c>
      <c r="D168">
        <v>2</v>
      </c>
      <c r="E168">
        <v>0</v>
      </c>
      <c r="F168">
        <v>5</v>
      </c>
    </row>
    <row r="169" spans="1:6" x14ac:dyDescent="0.3">
      <c r="A169">
        <v>2</v>
      </c>
      <c r="B169">
        <v>3</v>
      </c>
      <c r="C169">
        <v>2</v>
      </c>
      <c r="D169">
        <v>1</v>
      </c>
      <c r="E169">
        <v>1</v>
      </c>
      <c r="F169">
        <v>1</v>
      </c>
    </row>
    <row r="170" spans="1:6" x14ac:dyDescent="0.3">
      <c r="A170">
        <v>3</v>
      </c>
      <c r="B170">
        <v>41</v>
      </c>
      <c r="C170">
        <v>21</v>
      </c>
      <c r="D170">
        <v>11</v>
      </c>
      <c r="E170">
        <v>10</v>
      </c>
      <c r="F170">
        <v>20</v>
      </c>
    </row>
    <row r="171" spans="1:6" x14ac:dyDescent="0.3">
      <c r="A171">
        <v>4</v>
      </c>
      <c r="B171">
        <v>21</v>
      </c>
      <c r="C171">
        <v>9</v>
      </c>
      <c r="D171">
        <v>4</v>
      </c>
      <c r="E171">
        <v>5</v>
      </c>
      <c r="F171">
        <v>12</v>
      </c>
    </row>
    <row r="172" spans="1:6" x14ac:dyDescent="0.3">
      <c r="A172">
        <v>5</v>
      </c>
      <c r="B172">
        <v>4</v>
      </c>
      <c r="C172">
        <v>0</v>
      </c>
      <c r="D172">
        <v>0</v>
      </c>
      <c r="E172">
        <v>0</v>
      </c>
      <c r="F172">
        <v>4</v>
      </c>
    </row>
    <row r="173" spans="1:6" x14ac:dyDescent="0.3">
      <c r="A173">
        <v>6</v>
      </c>
      <c r="B173">
        <v>1</v>
      </c>
      <c r="C173">
        <v>1</v>
      </c>
      <c r="D173">
        <v>1</v>
      </c>
      <c r="E173">
        <v>0</v>
      </c>
      <c r="F173">
        <v>0</v>
      </c>
    </row>
    <row r="174" spans="1:6" x14ac:dyDescent="0.3">
      <c r="A174">
        <v>2</v>
      </c>
      <c r="B174">
        <v>2</v>
      </c>
      <c r="C174">
        <v>2</v>
      </c>
      <c r="D174">
        <v>1</v>
      </c>
      <c r="E174">
        <v>1</v>
      </c>
      <c r="F174">
        <v>0</v>
      </c>
    </row>
    <row r="175" spans="1:6" x14ac:dyDescent="0.3">
      <c r="A175">
        <v>3</v>
      </c>
      <c r="B175">
        <v>49</v>
      </c>
      <c r="C175">
        <v>27</v>
      </c>
      <c r="D175">
        <v>12</v>
      </c>
      <c r="E175">
        <v>15</v>
      </c>
      <c r="F175">
        <v>22</v>
      </c>
    </row>
    <row r="176" spans="1:6" x14ac:dyDescent="0.3">
      <c r="A176">
        <v>4</v>
      </c>
      <c r="B176">
        <v>16</v>
      </c>
      <c r="C176">
        <v>6</v>
      </c>
      <c r="D176">
        <v>4</v>
      </c>
      <c r="E176">
        <v>2</v>
      </c>
      <c r="F176">
        <v>10</v>
      </c>
    </row>
    <row r="177" spans="1:6" x14ac:dyDescent="0.3">
      <c r="A177">
        <v>5</v>
      </c>
      <c r="B177">
        <v>2</v>
      </c>
      <c r="C177">
        <v>1</v>
      </c>
      <c r="D177">
        <v>1</v>
      </c>
      <c r="E177">
        <v>0</v>
      </c>
      <c r="F177">
        <v>1</v>
      </c>
    </row>
    <row r="178" spans="1:6" x14ac:dyDescent="0.3">
      <c r="A178">
        <v>6</v>
      </c>
      <c r="B178">
        <v>1</v>
      </c>
      <c r="C178">
        <v>0</v>
      </c>
      <c r="D178">
        <v>0</v>
      </c>
      <c r="E178">
        <v>0</v>
      </c>
      <c r="F178">
        <v>1</v>
      </c>
    </row>
    <row r="179" spans="1:6" x14ac:dyDescent="0.3">
      <c r="A179">
        <v>2</v>
      </c>
      <c r="B179">
        <v>2</v>
      </c>
      <c r="C179">
        <v>2</v>
      </c>
      <c r="D179">
        <v>1</v>
      </c>
      <c r="E179">
        <v>1</v>
      </c>
      <c r="F179">
        <v>0</v>
      </c>
    </row>
    <row r="180" spans="1:6" x14ac:dyDescent="0.3">
      <c r="A180">
        <v>3</v>
      </c>
      <c r="B180">
        <v>38</v>
      </c>
      <c r="C180">
        <v>18</v>
      </c>
      <c r="D180">
        <v>11</v>
      </c>
      <c r="E180">
        <v>7</v>
      </c>
      <c r="F180">
        <v>20</v>
      </c>
    </row>
    <row r="181" spans="1:6" x14ac:dyDescent="0.3">
      <c r="A181">
        <v>4</v>
      </c>
      <c r="B181">
        <v>21</v>
      </c>
      <c r="C181">
        <v>7</v>
      </c>
      <c r="D181">
        <v>4</v>
      </c>
      <c r="E181">
        <v>3</v>
      </c>
      <c r="F181">
        <v>14</v>
      </c>
    </row>
    <row r="182" spans="1:6" x14ac:dyDescent="0.3">
      <c r="A182">
        <v>5</v>
      </c>
      <c r="B182">
        <v>9</v>
      </c>
      <c r="C182">
        <v>3</v>
      </c>
      <c r="D182">
        <v>3</v>
      </c>
      <c r="E182">
        <v>0</v>
      </c>
      <c r="F182">
        <v>6</v>
      </c>
    </row>
    <row r="183" spans="1:6" x14ac:dyDescent="0.3">
      <c r="A183">
        <v>2</v>
      </c>
      <c r="B183">
        <v>6</v>
      </c>
      <c r="C183">
        <v>6</v>
      </c>
      <c r="D183">
        <v>4</v>
      </c>
      <c r="E183">
        <v>2</v>
      </c>
      <c r="F183">
        <v>0</v>
      </c>
    </row>
    <row r="184" spans="1:6" x14ac:dyDescent="0.3">
      <c r="A184">
        <v>3</v>
      </c>
      <c r="B184">
        <v>39</v>
      </c>
      <c r="C184">
        <v>17</v>
      </c>
      <c r="D184">
        <v>8</v>
      </c>
      <c r="E184">
        <v>9</v>
      </c>
      <c r="F184">
        <v>22</v>
      </c>
    </row>
    <row r="185" spans="1:6" x14ac:dyDescent="0.3">
      <c r="A185">
        <v>4</v>
      </c>
      <c r="B185">
        <v>14</v>
      </c>
      <c r="C185">
        <v>8</v>
      </c>
      <c r="D185">
        <v>4</v>
      </c>
      <c r="E185">
        <v>4</v>
      </c>
      <c r="F185">
        <v>6</v>
      </c>
    </row>
    <row r="186" spans="1:6" x14ac:dyDescent="0.3">
      <c r="A186">
        <v>5</v>
      </c>
      <c r="B186">
        <v>9</v>
      </c>
      <c r="C186">
        <v>4</v>
      </c>
      <c r="D186">
        <v>4</v>
      </c>
      <c r="E186">
        <v>0</v>
      </c>
      <c r="F186">
        <v>5</v>
      </c>
    </row>
    <row r="187" spans="1:6" x14ac:dyDescent="0.3">
      <c r="A187">
        <v>6</v>
      </c>
      <c r="B187">
        <v>1</v>
      </c>
      <c r="C187">
        <v>0</v>
      </c>
      <c r="D187">
        <v>0</v>
      </c>
      <c r="E187">
        <v>0</v>
      </c>
      <c r="F187">
        <v>1</v>
      </c>
    </row>
    <row r="188" spans="1:6" x14ac:dyDescent="0.3">
      <c r="A188">
        <v>7</v>
      </c>
      <c r="B188">
        <v>1</v>
      </c>
      <c r="C188">
        <v>0</v>
      </c>
      <c r="D188">
        <v>0</v>
      </c>
      <c r="E188">
        <v>0</v>
      </c>
      <c r="F188">
        <v>1</v>
      </c>
    </row>
    <row r="189" spans="1:6" x14ac:dyDescent="0.3">
      <c r="A189">
        <v>2</v>
      </c>
      <c r="B189">
        <v>4</v>
      </c>
      <c r="C189">
        <v>4</v>
      </c>
      <c r="D189">
        <v>1</v>
      </c>
      <c r="E189">
        <v>3</v>
      </c>
      <c r="F189">
        <v>0</v>
      </c>
    </row>
    <row r="190" spans="1:6" x14ac:dyDescent="0.3">
      <c r="A190">
        <v>3</v>
      </c>
      <c r="B190">
        <v>38</v>
      </c>
      <c r="C190">
        <v>18</v>
      </c>
      <c r="D190">
        <v>12</v>
      </c>
      <c r="E190">
        <v>6</v>
      </c>
      <c r="F190">
        <v>20</v>
      </c>
    </row>
    <row r="191" spans="1:6" x14ac:dyDescent="0.3">
      <c r="A191">
        <v>4</v>
      </c>
      <c r="B191">
        <v>21</v>
      </c>
      <c r="C191">
        <v>11</v>
      </c>
      <c r="D191">
        <v>7</v>
      </c>
      <c r="E191">
        <v>4</v>
      </c>
      <c r="F191">
        <v>10</v>
      </c>
    </row>
    <row r="192" spans="1:6" x14ac:dyDescent="0.3">
      <c r="A192">
        <v>5</v>
      </c>
      <c r="B192">
        <v>5</v>
      </c>
      <c r="C192">
        <v>2</v>
      </c>
      <c r="D192">
        <v>2</v>
      </c>
      <c r="E192">
        <v>0</v>
      </c>
      <c r="F192">
        <v>3</v>
      </c>
    </row>
    <row r="193" spans="1:6" x14ac:dyDescent="0.3">
      <c r="A193">
        <v>6</v>
      </c>
      <c r="B193">
        <v>2</v>
      </c>
      <c r="C193">
        <v>0</v>
      </c>
      <c r="D193">
        <v>0</v>
      </c>
      <c r="E193">
        <v>0</v>
      </c>
      <c r="F193">
        <v>2</v>
      </c>
    </row>
    <row r="194" spans="1:6" x14ac:dyDescent="0.3">
      <c r="A194">
        <v>2</v>
      </c>
      <c r="B194">
        <v>10</v>
      </c>
      <c r="C194">
        <v>9</v>
      </c>
      <c r="D194">
        <v>5</v>
      </c>
      <c r="E194">
        <v>4</v>
      </c>
      <c r="F194">
        <v>1</v>
      </c>
    </row>
    <row r="195" spans="1:6" x14ac:dyDescent="0.3">
      <c r="A195">
        <v>3</v>
      </c>
      <c r="B195">
        <v>34</v>
      </c>
      <c r="C195">
        <v>16</v>
      </c>
      <c r="D195">
        <v>7</v>
      </c>
      <c r="E195">
        <v>9</v>
      </c>
      <c r="F195">
        <v>18</v>
      </c>
    </row>
    <row r="196" spans="1:6" x14ac:dyDescent="0.3">
      <c r="A196">
        <v>4</v>
      </c>
      <c r="B196">
        <v>23</v>
      </c>
      <c r="C196">
        <v>10</v>
      </c>
      <c r="D196">
        <v>6</v>
      </c>
      <c r="E196">
        <v>4</v>
      </c>
      <c r="F196">
        <v>13</v>
      </c>
    </row>
    <row r="197" spans="1:6" x14ac:dyDescent="0.3">
      <c r="A197">
        <v>5</v>
      </c>
      <c r="B197">
        <v>1</v>
      </c>
      <c r="C197">
        <v>0</v>
      </c>
      <c r="D197">
        <v>0</v>
      </c>
      <c r="E197">
        <v>0</v>
      </c>
      <c r="F197">
        <v>1</v>
      </c>
    </row>
    <row r="198" spans="1:6" x14ac:dyDescent="0.3">
      <c r="A198">
        <v>6</v>
      </c>
      <c r="B198">
        <v>2</v>
      </c>
      <c r="C198">
        <v>0</v>
      </c>
      <c r="D198">
        <v>0</v>
      </c>
      <c r="E198">
        <v>0</v>
      </c>
      <c r="F198">
        <v>2</v>
      </c>
    </row>
    <row r="199" spans="1:6" x14ac:dyDescent="0.3">
      <c r="A199">
        <v>2</v>
      </c>
      <c r="B199">
        <v>5</v>
      </c>
      <c r="C199">
        <v>5</v>
      </c>
      <c r="D199">
        <v>3</v>
      </c>
      <c r="E199">
        <v>2</v>
      </c>
      <c r="F199">
        <v>0</v>
      </c>
    </row>
    <row r="200" spans="1:6" x14ac:dyDescent="0.3">
      <c r="A200">
        <v>3</v>
      </c>
      <c r="B200">
        <v>39</v>
      </c>
      <c r="C200">
        <v>18</v>
      </c>
      <c r="D200">
        <v>11</v>
      </c>
      <c r="E200">
        <v>7</v>
      </c>
      <c r="F200">
        <v>21</v>
      </c>
    </row>
    <row r="201" spans="1:6" x14ac:dyDescent="0.3">
      <c r="A201">
        <v>4</v>
      </c>
      <c r="B201">
        <v>21</v>
      </c>
      <c r="C201">
        <v>11</v>
      </c>
      <c r="D201">
        <v>5</v>
      </c>
      <c r="E201">
        <v>6</v>
      </c>
      <c r="F201">
        <v>10</v>
      </c>
    </row>
    <row r="202" spans="1:6" x14ac:dyDescent="0.3">
      <c r="A202">
        <v>5</v>
      </c>
      <c r="B202">
        <v>5</v>
      </c>
      <c r="C202">
        <v>3</v>
      </c>
      <c r="D202">
        <v>3</v>
      </c>
      <c r="E202">
        <v>0</v>
      </c>
      <c r="F202">
        <v>2</v>
      </c>
    </row>
    <row r="203" spans="1:6" x14ac:dyDescent="0.3">
      <c r="A203">
        <v>2</v>
      </c>
      <c r="B203">
        <v>8</v>
      </c>
      <c r="C203">
        <v>7</v>
      </c>
      <c r="D203">
        <v>6</v>
      </c>
      <c r="E203">
        <v>1</v>
      </c>
      <c r="F203">
        <v>1</v>
      </c>
    </row>
    <row r="204" spans="1:6" x14ac:dyDescent="0.3">
      <c r="A204">
        <v>3</v>
      </c>
      <c r="B204">
        <v>44</v>
      </c>
      <c r="C204">
        <v>15</v>
      </c>
      <c r="D204">
        <v>11</v>
      </c>
      <c r="E204">
        <v>4</v>
      </c>
      <c r="F204">
        <v>29</v>
      </c>
    </row>
    <row r="205" spans="1:6" x14ac:dyDescent="0.3">
      <c r="A205">
        <v>4</v>
      </c>
      <c r="B205">
        <v>17</v>
      </c>
      <c r="C205">
        <v>13</v>
      </c>
      <c r="D205">
        <v>12</v>
      </c>
      <c r="E205">
        <v>1</v>
      </c>
      <c r="F205">
        <v>4</v>
      </c>
    </row>
    <row r="206" spans="1:6" x14ac:dyDescent="0.3">
      <c r="A206">
        <v>5</v>
      </c>
      <c r="B206">
        <v>1</v>
      </c>
      <c r="C206">
        <v>0</v>
      </c>
      <c r="D206">
        <v>0</v>
      </c>
      <c r="E206">
        <v>0</v>
      </c>
      <c r="F206">
        <v>1</v>
      </c>
    </row>
    <row r="207" spans="1:6" x14ac:dyDescent="0.3">
      <c r="A207">
        <v>2</v>
      </c>
      <c r="B207">
        <v>8</v>
      </c>
      <c r="C207">
        <v>8</v>
      </c>
      <c r="D207">
        <v>6</v>
      </c>
      <c r="E207">
        <v>2</v>
      </c>
      <c r="F207">
        <v>0</v>
      </c>
    </row>
    <row r="208" spans="1:6" x14ac:dyDescent="0.3">
      <c r="A208">
        <v>3</v>
      </c>
      <c r="B208">
        <v>39</v>
      </c>
      <c r="C208">
        <v>21</v>
      </c>
      <c r="D208">
        <v>12</v>
      </c>
      <c r="E208">
        <v>9</v>
      </c>
      <c r="F208">
        <v>18</v>
      </c>
    </row>
    <row r="209" spans="1:6" x14ac:dyDescent="0.3">
      <c r="A209">
        <v>4</v>
      </c>
      <c r="B209">
        <v>18</v>
      </c>
      <c r="C209">
        <v>4</v>
      </c>
      <c r="D209">
        <v>2</v>
      </c>
      <c r="E209">
        <v>2</v>
      </c>
      <c r="F209">
        <v>14</v>
      </c>
    </row>
    <row r="210" spans="1:6" x14ac:dyDescent="0.3">
      <c r="A210">
        <v>5</v>
      </c>
      <c r="B210">
        <v>5</v>
      </c>
      <c r="C210">
        <v>2</v>
      </c>
      <c r="D210">
        <v>2</v>
      </c>
      <c r="E210">
        <v>0</v>
      </c>
      <c r="F210">
        <v>3</v>
      </c>
    </row>
    <row r="211" spans="1:6" x14ac:dyDescent="0.3">
      <c r="A211">
        <v>2</v>
      </c>
      <c r="B211">
        <v>5</v>
      </c>
      <c r="C211">
        <v>5</v>
      </c>
      <c r="D211">
        <v>3</v>
      </c>
      <c r="E211">
        <v>2</v>
      </c>
      <c r="F211">
        <v>0</v>
      </c>
    </row>
    <row r="212" spans="1:6" x14ac:dyDescent="0.3">
      <c r="A212">
        <v>3</v>
      </c>
      <c r="B212">
        <v>45</v>
      </c>
      <c r="C212">
        <v>20</v>
      </c>
      <c r="D212">
        <v>13</v>
      </c>
      <c r="E212">
        <v>7</v>
      </c>
      <c r="F212">
        <v>25</v>
      </c>
    </row>
    <row r="213" spans="1:6" x14ac:dyDescent="0.3">
      <c r="A213">
        <v>4</v>
      </c>
      <c r="B213">
        <v>18</v>
      </c>
      <c r="C213">
        <v>13</v>
      </c>
      <c r="D213">
        <v>8</v>
      </c>
      <c r="E213">
        <v>5</v>
      </c>
      <c r="F213">
        <v>5</v>
      </c>
    </row>
    <row r="214" spans="1:6" x14ac:dyDescent="0.3">
      <c r="A214">
        <v>5</v>
      </c>
      <c r="B214">
        <v>2</v>
      </c>
      <c r="C214">
        <v>0</v>
      </c>
      <c r="D214">
        <v>0</v>
      </c>
      <c r="E214">
        <v>0</v>
      </c>
      <c r="F214">
        <v>2</v>
      </c>
    </row>
    <row r="215" spans="1:6" x14ac:dyDescent="0.3">
      <c r="A215">
        <v>2</v>
      </c>
      <c r="B215">
        <v>6</v>
      </c>
      <c r="C215">
        <v>5</v>
      </c>
      <c r="D215">
        <v>5</v>
      </c>
      <c r="E215">
        <v>0</v>
      </c>
      <c r="F215">
        <v>1</v>
      </c>
    </row>
    <row r="216" spans="1:6" x14ac:dyDescent="0.3">
      <c r="A216">
        <v>3</v>
      </c>
      <c r="B216">
        <v>41</v>
      </c>
      <c r="C216">
        <v>13</v>
      </c>
      <c r="D216">
        <v>11</v>
      </c>
      <c r="E216">
        <v>2</v>
      </c>
      <c r="F216">
        <v>28</v>
      </c>
    </row>
    <row r="217" spans="1:6" x14ac:dyDescent="0.3">
      <c r="A217">
        <v>4</v>
      </c>
      <c r="B217">
        <v>17</v>
      </c>
      <c r="C217">
        <v>9</v>
      </c>
      <c r="D217">
        <v>1</v>
      </c>
      <c r="E217">
        <v>8</v>
      </c>
      <c r="F217">
        <v>8</v>
      </c>
    </row>
    <row r="218" spans="1:6" x14ac:dyDescent="0.3">
      <c r="A218">
        <v>5</v>
      </c>
      <c r="B218">
        <v>5</v>
      </c>
      <c r="C218">
        <v>1</v>
      </c>
      <c r="D218">
        <v>1</v>
      </c>
      <c r="E218">
        <v>0</v>
      </c>
      <c r="F218">
        <v>4</v>
      </c>
    </row>
    <row r="219" spans="1:6" x14ac:dyDescent="0.3">
      <c r="A219">
        <v>6</v>
      </c>
      <c r="B219">
        <v>1</v>
      </c>
      <c r="C219">
        <v>0</v>
      </c>
      <c r="D219">
        <v>0</v>
      </c>
      <c r="E219">
        <v>0</v>
      </c>
      <c r="F219">
        <v>1</v>
      </c>
    </row>
    <row r="220" spans="1:6" x14ac:dyDescent="0.3">
      <c r="A220">
        <v>2</v>
      </c>
      <c r="B220">
        <v>4</v>
      </c>
      <c r="C220">
        <v>4</v>
      </c>
      <c r="D220">
        <v>2</v>
      </c>
      <c r="E220">
        <v>2</v>
      </c>
      <c r="F220">
        <v>0</v>
      </c>
    </row>
    <row r="221" spans="1:6" x14ac:dyDescent="0.3">
      <c r="A221">
        <v>3</v>
      </c>
      <c r="B221">
        <v>41</v>
      </c>
      <c r="C221">
        <v>20</v>
      </c>
      <c r="D221">
        <v>14</v>
      </c>
      <c r="E221">
        <v>6</v>
      </c>
      <c r="F221">
        <v>21</v>
      </c>
    </row>
    <row r="222" spans="1:6" x14ac:dyDescent="0.3">
      <c r="A222">
        <v>4</v>
      </c>
      <c r="B222">
        <v>24</v>
      </c>
      <c r="C222">
        <v>11</v>
      </c>
      <c r="D222">
        <v>10</v>
      </c>
      <c r="E222">
        <v>1</v>
      </c>
      <c r="F222">
        <v>13</v>
      </c>
    </row>
    <row r="223" spans="1:6" x14ac:dyDescent="0.3">
      <c r="A223">
        <v>5</v>
      </c>
      <c r="B223">
        <v>1</v>
      </c>
      <c r="C223">
        <v>0</v>
      </c>
      <c r="D223">
        <v>0</v>
      </c>
      <c r="E223">
        <v>0</v>
      </c>
      <c r="F223">
        <v>1</v>
      </c>
    </row>
    <row r="224" spans="1:6" x14ac:dyDescent="0.3">
      <c r="A224">
        <v>2</v>
      </c>
      <c r="B224">
        <v>8</v>
      </c>
      <c r="C224">
        <v>8</v>
      </c>
      <c r="D224">
        <v>6</v>
      </c>
      <c r="E224">
        <v>2</v>
      </c>
      <c r="F224">
        <v>0</v>
      </c>
    </row>
    <row r="225" spans="1:6" x14ac:dyDescent="0.3">
      <c r="A225">
        <v>3</v>
      </c>
      <c r="B225">
        <v>37</v>
      </c>
      <c r="C225">
        <v>16</v>
      </c>
      <c r="D225">
        <v>8</v>
      </c>
      <c r="E225">
        <v>8</v>
      </c>
      <c r="F225">
        <v>21</v>
      </c>
    </row>
    <row r="226" spans="1:6" x14ac:dyDescent="0.3">
      <c r="A226">
        <v>4</v>
      </c>
      <c r="B226">
        <v>21</v>
      </c>
      <c r="C226">
        <v>10</v>
      </c>
      <c r="D226">
        <v>6</v>
      </c>
      <c r="E226">
        <v>4</v>
      </c>
      <c r="F226">
        <v>11</v>
      </c>
    </row>
    <row r="227" spans="1:6" x14ac:dyDescent="0.3">
      <c r="A227">
        <v>5</v>
      </c>
      <c r="B227">
        <v>4</v>
      </c>
      <c r="C227">
        <v>1</v>
      </c>
      <c r="D227">
        <v>1</v>
      </c>
      <c r="E227">
        <v>0</v>
      </c>
      <c r="F227">
        <v>3</v>
      </c>
    </row>
    <row r="228" spans="1:6" x14ac:dyDescent="0.3">
      <c r="A228">
        <v>2</v>
      </c>
      <c r="B228">
        <v>4</v>
      </c>
      <c r="C228">
        <v>3</v>
      </c>
      <c r="D228">
        <v>2</v>
      </c>
      <c r="E228">
        <v>1</v>
      </c>
      <c r="F228">
        <v>1</v>
      </c>
    </row>
    <row r="229" spans="1:6" x14ac:dyDescent="0.3">
      <c r="A229">
        <v>3</v>
      </c>
      <c r="B229">
        <v>41</v>
      </c>
      <c r="C229">
        <v>18</v>
      </c>
      <c r="D229">
        <v>12</v>
      </c>
      <c r="E229">
        <v>6</v>
      </c>
      <c r="F229">
        <v>23</v>
      </c>
    </row>
    <row r="230" spans="1:6" x14ac:dyDescent="0.3">
      <c r="A230">
        <v>4</v>
      </c>
      <c r="B230">
        <v>22</v>
      </c>
      <c r="C230">
        <v>7</v>
      </c>
      <c r="D230">
        <v>6</v>
      </c>
      <c r="E230">
        <v>1</v>
      </c>
      <c r="F230">
        <v>15</v>
      </c>
    </row>
    <row r="231" spans="1:6" x14ac:dyDescent="0.3">
      <c r="A231">
        <v>5</v>
      </c>
      <c r="B231">
        <v>3</v>
      </c>
      <c r="C231">
        <v>0</v>
      </c>
      <c r="D231">
        <v>0</v>
      </c>
      <c r="E231">
        <v>0</v>
      </c>
      <c r="F231">
        <v>3</v>
      </c>
    </row>
    <row r="232" spans="1:6" x14ac:dyDescent="0.3">
      <c r="A232">
        <v>2</v>
      </c>
      <c r="B232">
        <v>4</v>
      </c>
      <c r="C232">
        <v>4</v>
      </c>
      <c r="D232">
        <v>3</v>
      </c>
      <c r="E232">
        <v>1</v>
      </c>
      <c r="F232">
        <v>0</v>
      </c>
    </row>
    <row r="233" spans="1:6" x14ac:dyDescent="0.3">
      <c r="A233">
        <v>3</v>
      </c>
      <c r="B233">
        <v>37</v>
      </c>
      <c r="C233">
        <v>15</v>
      </c>
      <c r="D233">
        <v>11</v>
      </c>
      <c r="E233">
        <v>4</v>
      </c>
      <c r="F233">
        <v>22</v>
      </c>
    </row>
    <row r="234" spans="1:6" x14ac:dyDescent="0.3">
      <c r="A234">
        <v>4</v>
      </c>
      <c r="B234">
        <v>25</v>
      </c>
      <c r="C234">
        <v>14</v>
      </c>
      <c r="D234">
        <v>11</v>
      </c>
      <c r="E234">
        <v>3</v>
      </c>
      <c r="F234">
        <v>11</v>
      </c>
    </row>
    <row r="235" spans="1:6" x14ac:dyDescent="0.3">
      <c r="A235">
        <v>5</v>
      </c>
      <c r="B235">
        <v>4</v>
      </c>
      <c r="C235">
        <v>2</v>
      </c>
      <c r="D235">
        <v>2</v>
      </c>
      <c r="E235">
        <v>0</v>
      </c>
      <c r="F235">
        <v>2</v>
      </c>
    </row>
    <row r="236" spans="1:6" x14ac:dyDescent="0.3">
      <c r="A236">
        <v>2</v>
      </c>
      <c r="B236">
        <v>9</v>
      </c>
      <c r="C236">
        <v>9</v>
      </c>
      <c r="D236">
        <v>7</v>
      </c>
      <c r="E236">
        <v>2</v>
      </c>
      <c r="F236">
        <v>0</v>
      </c>
    </row>
    <row r="237" spans="1:6" x14ac:dyDescent="0.3">
      <c r="A237">
        <v>3</v>
      </c>
      <c r="B237">
        <v>42</v>
      </c>
      <c r="C237">
        <v>19</v>
      </c>
      <c r="D237">
        <v>9</v>
      </c>
      <c r="E237">
        <v>10</v>
      </c>
      <c r="F237">
        <v>23</v>
      </c>
    </row>
    <row r="238" spans="1:6" x14ac:dyDescent="0.3">
      <c r="A238">
        <v>4</v>
      </c>
      <c r="B238">
        <v>13</v>
      </c>
      <c r="C238">
        <v>7</v>
      </c>
      <c r="D238">
        <v>3</v>
      </c>
      <c r="E238">
        <v>4</v>
      </c>
      <c r="F238">
        <v>6</v>
      </c>
    </row>
    <row r="239" spans="1:6" x14ac:dyDescent="0.3">
      <c r="A239">
        <v>5</v>
      </c>
      <c r="B239">
        <v>6</v>
      </c>
      <c r="C239">
        <v>2</v>
      </c>
      <c r="D239">
        <v>2</v>
      </c>
      <c r="E239">
        <v>0</v>
      </c>
      <c r="F239">
        <v>4</v>
      </c>
    </row>
    <row r="240" spans="1:6" x14ac:dyDescent="0.3">
      <c r="A240">
        <v>2</v>
      </c>
      <c r="B240">
        <v>5</v>
      </c>
      <c r="C240">
        <v>4</v>
      </c>
      <c r="D240">
        <v>4</v>
      </c>
      <c r="E240">
        <v>0</v>
      </c>
      <c r="F240">
        <v>1</v>
      </c>
    </row>
    <row r="241" spans="1:6" x14ac:dyDescent="0.3">
      <c r="A241">
        <v>3</v>
      </c>
      <c r="B241">
        <v>40</v>
      </c>
      <c r="C241">
        <v>16</v>
      </c>
      <c r="D241">
        <v>10</v>
      </c>
      <c r="E241">
        <v>6</v>
      </c>
      <c r="F241">
        <v>24</v>
      </c>
    </row>
    <row r="242" spans="1:6" x14ac:dyDescent="0.3">
      <c r="A242">
        <v>4</v>
      </c>
      <c r="B242">
        <v>18</v>
      </c>
      <c r="C242">
        <v>9</v>
      </c>
      <c r="D242">
        <v>3</v>
      </c>
      <c r="E242">
        <v>6</v>
      </c>
      <c r="F242">
        <v>9</v>
      </c>
    </row>
    <row r="243" spans="1:6" x14ac:dyDescent="0.3">
      <c r="A243">
        <v>5</v>
      </c>
      <c r="B243">
        <v>6</v>
      </c>
      <c r="C243">
        <v>2</v>
      </c>
      <c r="D243">
        <v>2</v>
      </c>
      <c r="E243">
        <v>0</v>
      </c>
      <c r="F243">
        <v>4</v>
      </c>
    </row>
    <row r="244" spans="1:6" x14ac:dyDescent="0.3">
      <c r="A244" s="4">
        <v>6</v>
      </c>
      <c r="B244" s="4">
        <v>1</v>
      </c>
      <c r="C244" s="4">
        <v>1</v>
      </c>
      <c r="D244" s="4">
        <v>1</v>
      </c>
      <c r="E244" s="4">
        <v>0</v>
      </c>
      <c r="F244" s="4">
        <v>0</v>
      </c>
    </row>
  </sheetData>
  <mergeCells count="4">
    <mergeCell ref="A1:A2"/>
    <mergeCell ref="B1:B2"/>
    <mergeCell ref="C1:E1"/>
    <mergeCell ref="F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AG147"/>
  <sheetViews>
    <sheetView tabSelected="1" topLeftCell="A148" zoomScale="90" zoomScaleNormal="90" workbookViewId="0">
      <selection activeCell="N10" sqref="N10"/>
    </sheetView>
  </sheetViews>
  <sheetFormatPr defaultRowHeight="14.4" x14ac:dyDescent="0.3"/>
  <cols>
    <col min="1" max="29" width="8.88671875" style="56" customWidth="1"/>
    <col min="30" max="16384" width="8.88671875" style="56"/>
  </cols>
  <sheetData>
    <row r="5" spans="13:21" x14ac:dyDescent="0.3">
      <c r="N5" s="64" t="s">
        <v>82</v>
      </c>
      <c r="O5" s="65"/>
      <c r="P5" s="64" t="s">
        <v>83</v>
      </c>
      <c r="Q5" s="65"/>
      <c r="R5" s="64" t="s">
        <v>84</v>
      </c>
      <c r="S5" s="65"/>
      <c r="T5" s="64" t="s">
        <v>85</v>
      </c>
      <c r="U5" s="65"/>
    </row>
    <row r="6" spans="13:21" x14ac:dyDescent="0.3">
      <c r="N6" t="s">
        <v>53</v>
      </c>
      <c r="O6" t="s">
        <v>14</v>
      </c>
      <c r="P6" t="s">
        <v>53</v>
      </c>
      <c r="Q6" t="s">
        <v>14</v>
      </c>
      <c r="R6" t="s">
        <v>53</v>
      </c>
      <c r="S6" t="s">
        <v>14</v>
      </c>
      <c r="T6" t="s">
        <v>53</v>
      </c>
      <c r="U6" t="s">
        <v>14</v>
      </c>
    </row>
    <row r="7" spans="13:21" x14ac:dyDescent="0.3">
      <c r="M7" s="49" t="s">
        <v>86</v>
      </c>
      <c r="N7">
        <v>0.9930000000000001</v>
      </c>
      <c r="O7">
        <v>0.99930000000000008</v>
      </c>
      <c r="P7">
        <v>0.92200000000000015</v>
      </c>
      <c r="Q7">
        <v>0.89139999999999997</v>
      </c>
      <c r="R7">
        <v>0.84400000000000008</v>
      </c>
      <c r="S7">
        <v>0.53780000000000006</v>
      </c>
      <c r="T7">
        <v>2.7589999999999999</v>
      </c>
      <c r="U7">
        <v>2.4285000000000001</v>
      </c>
    </row>
    <row r="8" spans="13:21" x14ac:dyDescent="0.3">
      <c r="M8">
        <v>2</v>
      </c>
      <c r="N8">
        <v>0.90000000000000013</v>
      </c>
      <c r="O8">
        <v>0.99</v>
      </c>
      <c r="P8">
        <v>0.70000000000000007</v>
      </c>
      <c r="Q8">
        <v>6.9999999999999993E-2</v>
      </c>
      <c r="R8">
        <v>0.4</v>
      </c>
      <c r="S8">
        <v>3.9999999999999987E-2</v>
      </c>
      <c r="T8">
        <v>2</v>
      </c>
      <c r="U8">
        <v>1.1000000000000001</v>
      </c>
    </row>
    <row r="9" spans="13:21" x14ac:dyDescent="0.3">
      <c r="M9">
        <v>3</v>
      </c>
      <c r="N9">
        <v>1</v>
      </c>
      <c r="O9">
        <v>1</v>
      </c>
      <c r="P9">
        <v>0.9</v>
      </c>
      <c r="Q9">
        <v>0.95</v>
      </c>
      <c r="R9">
        <v>0.79999999999999993</v>
      </c>
      <c r="S9">
        <v>0.4</v>
      </c>
      <c r="T9">
        <v>2.7</v>
      </c>
      <c r="U9">
        <v>2.35</v>
      </c>
    </row>
    <row r="10" spans="13:21" x14ac:dyDescent="0.3">
      <c r="M10">
        <v>4</v>
      </c>
      <c r="N10">
        <v>1</v>
      </c>
      <c r="O10">
        <v>1</v>
      </c>
      <c r="P10">
        <v>1</v>
      </c>
      <c r="Q10">
        <v>0.90000000000000013</v>
      </c>
      <c r="R10">
        <v>1</v>
      </c>
      <c r="S10">
        <v>0.70000000000000018</v>
      </c>
      <c r="T10">
        <v>3</v>
      </c>
      <c r="U10">
        <v>2.600000000000001</v>
      </c>
    </row>
    <row r="11" spans="13:21" x14ac:dyDescent="0.3">
      <c r="M11">
        <v>5</v>
      </c>
      <c r="N11">
        <v>1</v>
      </c>
      <c r="O11">
        <v>0.99999999999999978</v>
      </c>
      <c r="P11">
        <v>1</v>
      </c>
      <c r="Q11">
        <v>0.99999999999999978</v>
      </c>
      <c r="R11">
        <v>1</v>
      </c>
      <c r="S11">
        <v>0.8999999999999998</v>
      </c>
      <c r="T11">
        <v>3</v>
      </c>
      <c r="U11">
        <v>2.899999999999999</v>
      </c>
    </row>
    <row r="12" spans="13:21" x14ac:dyDescent="0.3">
      <c r="M12">
        <v>6</v>
      </c>
      <c r="N12">
        <v>1</v>
      </c>
      <c r="O12">
        <v>0.99999999999999989</v>
      </c>
      <c r="P12">
        <v>1</v>
      </c>
      <c r="Q12">
        <v>0.99999999999999989</v>
      </c>
      <c r="R12">
        <v>1</v>
      </c>
      <c r="S12">
        <v>0.99999999999999989</v>
      </c>
      <c r="T12">
        <v>3</v>
      </c>
      <c r="U12">
        <v>3</v>
      </c>
    </row>
    <row r="13" spans="13:21" x14ac:dyDescent="0.3">
      <c r="M13">
        <v>7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3</v>
      </c>
      <c r="U13">
        <v>3</v>
      </c>
    </row>
    <row r="14" spans="13:21" x14ac:dyDescent="0.3">
      <c r="M14">
        <v>8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3</v>
      </c>
      <c r="U14">
        <v>3.0000000000000009</v>
      </c>
    </row>
    <row r="17" spans="13:21" x14ac:dyDescent="0.3">
      <c r="N17" s="64" t="s">
        <v>82</v>
      </c>
      <c r="O17" s="65"/>
      <c r="P17" s="64" t="s">
        <v>83</v>
      </c>
      <c r="Q17" s="65"/>
      <c r="R17" s="64" t="s">
        <v>84</v>
      </c>
      <c r="S17" s="65"/>
      <c r="T17" s="64" t="s">
        <v>85</v>
      </c>
      <c r="U17" s="65"/>
    </row>
    <row r="18" spans="13:21" x14ac:dyDescent="0.3">
      <c r="N18" s="61" t="s">
        <v>87</v>
      </c>
      <c r="O18" s="61" t="s">
        <v>13</v>
      </c>
      <c r="P18" s="61" t="s">
        <v>87</v>
      </c>
      <c r="Q18" s="61" t="s">
        <v>13</v>
      </c>
      <c r="R18" s="61" t="s">
        <v>87</v>
      </c>
      <c r="S18" s="61" t="s">
        <v>13</v>
      </c>
      <c r="T18" s="61" t="s">
        <v>87</v>
      </c>
      <c r="U18" s="61" t="s">
        <v>13</v>
      </c>
    </row>
    <row r="19" spans="13:21" x14ac:dyDescent="0.3">
      <c r="M19" s="49" t="s">
        <v>86</v>
      </c>
      <c r="N19" s="55">
        <f t="shared" ref="N19:N26" si="0">O7-N7</f>
        <v>6.2999999999999723E-3</v>
      </c>
      <c r="O19" s="55">
        <f t="shared" ref="O19:O26" si="1">(N19/N7)*100</f>
        <v>0.63444108761329021</v>
      </c>
      <c r="P19" s="55">
        <f t="shared" ref="P19:P26" si="2">Q7-P7</f>
        <v>-3.0600000000000183E-2</v>
      </c>
      <c r="Q19" s="55">
        <f t="shared" ref="Q19:Q26" si="3">(P19/P7)*100</f>
        <v>-3.3188720173535984</v>
      </c>
      <c r="R19" s="55">
        <f t="shared" ref="R19:R26" si="4">S7-R7</f>
        <v>-0.30620000000000003</v>
      </c>
      <c r="S19" s="63">
        <f t="shared" ref="S19:S26" si="5">(R19/R7)*100</f>
        <v>-36.279620853080566</v>
      </c>
      <c r="T19" s="55">
        <f t="shared" ref="T19:T26" si="6">U7-T7</f>
        <v>-0.33049999999999979</v>
      </c>
      <c r="U19" s="63">
        <f t="shared" ref="U19:U26" si="7">(T19/T7)*100</f>
        <v>-11.978977890540044</v>
      </c>
    </row>
    <row r="20" spans="13:21" x14ac:dyDescent="0.3">
      <c r="M20">
        <v>2</v>
      </c>
      <c r="N20" s="55">
        <f t="shared" si="0"/>
        <v>8.9999999999999858E-2</v>
      </c>
      <c r="O20" s="55">
        <f t="shared" si="1"/>
        <v>9.9999999999999822</v>
      </c>
      <c r="P20" s="55">
        <f t="shared" si="2"/>
        <v>-0.63000000000000012</v>
      </c>
      <c r="Q20" s="55">
        <f t="shared" si="3"/>
        <v>-90.000000000000014</v>
      </c>
      <c r="R20" s="55">
        <f t="shared" si="4"/>
        <v>-0.36000000000000004</v>
      </c>
      <c r="S20" s="63">
        <f t="shared" si="5"/>
        <v>-90</v>
      </c>
      <c r="T20" s="55">
        <f t="shared" si="6"/>
        <v>-0.89999999999999991</v>
      </c>
      <c r="U20" s="63">
        <f t="shared" si="7"/>
        <v>-44.999999999999993</v>
      </c>
    </row>
    <row r="21" spans="13:21" x14ac:dyDescent="0.3">
      <c r="M21">
        <v>3</v>
      </c>
      <c r="N21" s="55">
        <f t="shared" si="0"/>
        <v>0</v>
      </c>
      <c r="O21" s="55">
        <f t="shared" si="1"/>
        <v>0</v>
      </c>
      <c r="P21" s="55">
        <f t="shared" si="2"/>
        <v>4.9999999999999933E-2</v>
      </c>
      <c r="Q21" s="55">
        <f t="shared" si="3"/>
        <v>5.5555555555555483</v>
      </c>
      <c r="R21" s="55">
        <f t="shared" si="4"/>
        <v>-0.39999999999999991</v>
      </c>
      <c r="S21" s="63">
        <f t="shared" si="5"/>
        <v>-49.999999999999993</v>
      </c>
      <c r="T21" s="55">
        <f t="shared" si="6"/>
        <v>-0.35000000000000009</v>
      </c>
      <c r="U21" s="63">
        <f t="shared" si="7"/>
        <v>-12.962962962962965</v>
      </c>
    </row>
    <row r="22" spans="13:21" x14ac:dyDescent="0.3">
      <c r="M22">
        <v>4</v>
      </c>
      <c r="N22" s="55">
        <f t="shared" si="0"/>
        <v>0</v>
      </c>
      <c r="O22" s="55">
        <f t="shared" si="1"/>
        <v>0</v>
      </c>
      <c r="P22" s="55">
        <f t="shared" si="2"/>
        <v>-9.9999999999999867E-2</v>
      </c>
      <c r="Q22" s="55">
        <f t="shared" si="3"/>
        <v>-9.9999999999999858</v>
      </c>
      <c r="R22" s="55">
        <f t="shared" si="4"/>
        <v>-0.29999999999999982</v>
      </c>
      <c r="S22" s="63">
        <f t="shared" si="5"/>
        <v>-29.999999999999982</v>
      </c>
      <c r="T22" s="55">
        <f t="shared" si="6"/>
        <v>-0.39999999999999902</v>
      </c>
      <c r="U22" s="63">
        <f t="shared" si="7"/>
        <v>-13.3333333333333</v>
      </c>
    </row>
    <row r="23" spans="13:21" x14ac:dyDescent="0.3">
      <c r="M23">
        <v>5</v>
      </c>
      <c r="N23" s="55">
        <f t="shared" si="0"/>
        <v>0</v>
      </c>
      <c r="O23" s="55">
        <f t="shared" si="1"/>
        <v>0</v>
      </c>
      <c r="P23" s="55">
        <f t="shared" si="2"/>
        <v>0</v>
      </c>
      <c r="Q23" s="55">
        <f t="shared" si="3"/>
        <v>0</v>
      </c>
      <c r="R23" s="55">
        <f t="shared" si="4"/>
        <v>-0.1000000000000002</v>
      </c>
      <c r="S23" s="63">
        <f t="shared" si="5"/>
        <v>-10.00000000000002</v>
      </c>
      <c r="T23" s="55">
        <f t="shared" si="6"/>
        <v>-0.10000000000000098</v>
      </c>
      <c r="U23" s="63">
        <f t="shared" si="7"/>
        <v>-3.3333333333333659</v>
      </c>
    </row>
    <row r="24" spans="13:21" x14ac:dyDescent="0.3">
      <c r="M24">
        <v>6</v>
      </c>
      <c r="N24" s="55">
        <f t="shared" si="0"/>
        <v>0</v>
      </c>
      <c r="O24" s="55">
        <f t="shared" si="1"/>
        <v>0</v>
      </c>
      <c r="P24" s="55">
        <f t="shared" si="2"/>
        <v>0</v>
      </c>
      <c r="Q24" s="55">
        <f t="shared" si="3"/>
        <v>0</v>
      </c>
      <c r="R24" s="55">
        <f t="shared" si="4"/>
        <v>0</v>
      </c>
      <c r="S24" s="63">
        <f t="shared" si="5"/>
        <v>0</v>
      </c>
      <c r="T24" s="55">
        <f t="shared" si="6"/>
        <v>0</v>
      </c>
      <c r="U24" s="63">
        <f t="shared" si="7"/>
        <v>0</v>
      </c>
    </row>
    <row r="25" spans="13:21" x14ac:dyDescent="0.3">
      <c r="M25">
        <v>7</v>
      </c>
      <c r="N25" s="55">
        <f t="shared" si="0"/>
        <v>0</v>
      </c>
      <c r="O25" s="55">
        <f t="shared" si="1"/>
        <v>0</v>
      </c>
      <c r="P25" s="55">
        <f t="shared" si="2"/>
        <v>0</v>
      </c>
      <c r="Q25" s="55">
        <f t="shared" si="3"/>
        <v>0</v>
      </c>
      <c r="R25" s="55">
        <f t="shared" si="4"/>
        <v>0</v>
      </c>
      <c r="S25" s="63">
        <f t="shared" si="5"/>
        <v>0</v>
      </c>
      <c r="T25" s="55">
        <f t="shared" si="6"/>
        <v>0</v>
      </c>
      <c r="U25" s="63">
        <f t="shared" si="7"/>
        <v>0</v>
      </c>
    </row>
    <row r="26" spans="13:21" x14ac:dyDescent="0.3">
      <c r="M26">
        <v>8</v>
      </c>
      <c r="N26" s="55">
        <f t="shared" si="0"/>
        <v>0</v>
      </c>
      <c r="O26" s="55">
        <f t="shared" si="1"/>
        <v>0</v>
      </c>
      <c r="P26" s="55">
        <f t="shared" si="2"/>
        <v>0</v>
      </c>
      <c r="Q26" s="55">
        <f t="shared" si="3"/>
        <v>0</v>
      </c>
      <c r="R26" s="55">
        <f t="shared" si="4"/>
        <v>0</v>
      </c>
      <c r="S26" s="63">
        <f t="shared" si="5"/>
        <v>0</v>
      </c>
      <c r="T26" s="55">
        <f t="shared" si="6"/>
        <v>0</v>
      </c>
      <c r="U26" s="63">
        <f t="shared" si="7"/>
        <v>0</v>
      </c>
    </row>
    <row r="30" spans="13:21" x14ac:dyDescent="0.3">
      <c r="M30" s="57"/>
      <c r="N30" s="67" t="s">
        <v>82</v>
      </c>
      <c r="O30" s="65"/>
      <c r="P30" s="64" t="s">
        <v>83</v>
      </c>
      <c r="Q30" s="65"/>
      <c r="R30" s="64" t="s">
        <v>84</v>
      </c>
      <c r="S30" s="65"/>
      <c r="T30" s="64" t="s">
        <v>85</v>
      </c>
      <c r="U30" s="65"/>
    </row>
    <row r="31" spans="13:21" x14ac:dyDescent="0.3">
      <c r="M31" s="57"/>
      <c r="N31" t="s">
        <v>53</v>
      </c>
      <c r="O31" t="s">
        <v>14</v>
      </c>
      <c r="P31" t="s">
        <v>53</v>
      </c>
      <c r="Q31" t="s">
        <v>14</v>
      </c>
      <c r="R31" t="s">
        <v>53</v>
      </c>
      <c r="S31" t="s">
        <v>14</v>
      </c>
      <c r="T31" t="s">
        <v>53</v>
      </c>
      <c r="U31" t="s">
        <v>14</v>
      </c>
    </row>
    <row r="32" spans="13:21" x14ac:dyDescent="0.3">
      <c r="M32" s="40" t="s">
        <v>86</v>
      </c>
      <c r="N32" s="4">
        <v>1.4810000000000001</v>
      </c>
      <c r="O32" s="4">
        <v>1.549100000000001</v>
      </c>
      <c r="P32" s="4">
        <v>1.244</v>
      </c>
      <c r="Q32" s="4">
        <v>1.1783999999999999</v>
      </c>
      <c r="R32" s="4">
        <v>1.0049999999999999</v>
      </c>
      <c r="S32" s="4">
        <v>0.69550000000000001</v>
      </c>
      <c r="T32" s="4">
        <v>3.73</v>
      </c>
      <c r="U32" s="4">
        <v>3.4230000000000009</v>
      </c>
    </row>
    <row r="33" spans="13:21" x14ac:dyDescent="0.3">
      <c r="M33" s="57">
        <v>2</v>
      </c>
      <c r="N33">
        <v>0.90000000000000013</v>
      </c>
      <c r="O33">
        <v>1.29</v>
      </c>
      <c r="P33">
        <v>0.70000000000000007</v>
      </c>
      <c r="Q33">
        <v>6.9999999999999993E-2</v>
      </c>
      <c r="R33">
        <v>0.4</v>
      </c>
      <c r="S33">
        <v>3.9999999999999987E-2</v>
      </c>
      <c r="T33">
        <v>0.14000000000000001</v>
      </c>
      <c r="U33">
        <v>9.8000000000000032E-2</v>
      </c>
    </row>
    <row r="34" spans="13:21" x14ac:dyDescent="0.3">
      <c r="M34" s="57">
        <v>3</v>
      </c>
      <c r="N34">
        <v>1.2</v>
      </c>
      <c r="O34">
        <v>1.3</v>
      </c>
      <c r="P34">
        <v>1</v>
      </c>
      <c r="Q34">
        <v>1</v>
      </c>
      <c r="R34">
        <v>0.79999999999999993</v>
      </c>
      <c r="S34">
        <v>0.4</v>
      </c>
      <c r="T34">
        <v>1.71</v>
      </c>
      <c r="U34">
        <v>1.5389999999999999</v>
      </c>
    </row>
    <row r="35" spans="13:21" x14ac:dyDescent="0.3">
      <c r="M35" s="57">
        <v>4</v>
      </c>
      <c r="N35">
        <v>1.8</v>
      </c>
      <c r="O35">
        <v>1.8</v>
      </c>
      <c r="P35">
        <v>1.1000000000000001</v>
      </c>
      <c r="Q35">
        <v>1.05</v>
      </c>
      <c r="R35">
        <v>1.1000000000000001</v>
      </c>
      <c r="S35">
        <v>0.85</v>
      </c>
      <c r="T35">
        <v>0.60000000000000009</v>
      </c>
      <c r="U35">
        <v>0.55500000000000016</v>
      </c>
    </row>
    <row r="36" spans="13:21" x14ac:dyDescent="0.3">
      <c r="M36" s="57">
        <v>5</v>
      </c>
      <c r="N36">
        <v>1.9</v>
      </c>
      <c r="O36">
        <v>1.83</v>
      </c>
      <c r="P36">
        <v>1.9</v>
      </c>
      <c r="Q36">
        <v>1.83</v>
      </c>
      <c r="R36">
        <v>1.2</v>
      </c>
      <c r="S36">
        <v>1.04</v>
      </c>
      <c r="T36">
        <v>0.3999999999999998</v>
      </c>
      <c r="U36">
        <v>0.37599999999999978</v>
      </c>
    </row>
    <row r="37" spans="13:21" x14ac:dyDescent="0.3">
      <c r="M37" s="57">
        <v>6</v>
      </c>
      <c r="N37">
        <v>2.2000000000000002</v>
      </c>
      <c r="O37">
        <v>2.04</v>
      </c>
      <c r="P37">
        <v>2.2999999999999998</v>
      </c>
      <c r="Q37">
        <v>2.21</v>
      </c>
      <c r="R37">
        <v>1.5</v>
      </c>
      <c r="S37">
        <v>1.45</v>
      </c>
      <c r="T37">
        <v>0.36000000000000032</v>
      </c>
      <c r="U37">
        <v>0.3420000000000003</v>
      </c>
    </row>
    <row r="38" spans="13:21" x14ac:dyDescent="0.3">
      <c r="M38" s="57">
        <v>7</v>
      </c>
      <c r="N38">
        <v>2.4</v>
      </c>
      <c r="O38">
        <v>2.36</v>
      </c>
      <c r="P38">
        <v>2.2999999999999998</v>
      </c>
      <c r="Q38">
        <v>2.27</v>
      </c>
      <c r="R38">
        <v>2.2999999999999998</v>
      </c>
      <c r="S38">
        <v>2.27</v>
      </c>
      <c r="T38">
        <v>0.27999999999999953</v>
      </c>
      <c r="U38">
        <v>0.27599999999999952</v>
      </c>
    </row>
    <row r="39" spans="13:21" x14ac:dyDescent="0.3">
      <c r="M39" s="57">
        <v>8</v>
      </c>
      <c r="N39">
        <v>2.8</v>
      </c>
      <c r="O39">
        <v>2.82</v>
      </c>
      <c r="P39">
        <v>2.600000000000001</v>
      </c>
      <c r="Q39">
        <v>2.54</v>
      </c>
      <c r="R39">
        <v>2.600000000000001</v>
      </c>
      <c r="S39">
        <v>2.54</v>
      </c>
      <c r="T39">
        <v>0.24000000000000021</v>
      </c>
      <c r="U39">
        <v>0.23700000000000029</v>
      </c>
    </row>
    <row r="42" spans="13:21" x14ac:dyDescent="0.3">
      <c r="M42" s="57"/>
      <c r="N42" s="67" t="s">
        <v>82</v>
      </c>
      <c r="O42" s="65"/>
      <c r="P42" s="64" t="s">
        <v>83</v>
      </c>
      <c r="Q42" s="65"/>
      <c r="R42" s="64" t="s">
        <v>84</v>
      </c>
      <c r="S42" s="65"/>
      <c r="T42" s="64" t="s">
        <v>85</v>
      </c>
      <c r="U42" s="65"/>
    </row>
    <row r="43" spans="13:21" x14ac:dyDescent="0.3">
      <c r="M43" s="57"/>
      <c r="N43" t="s">
        <v>53</v>
      </c>
      <c r="O43" t="s">
        <v>14</v>
      </c>
      <c r="P43" t="s">
        <v>53</v>
      </c>
      <c r="Q43" t="s">
        <v>14</v>
      </c>
      <c r="R43" t="s">
        <v>53</v>
      </c>
      <c r="S43" t="s">
        <v>14</v>
      </c>
      <c r="T43" t="s">
        <v>53</v>
      </c>
      <c r="U43" t="s">
        <v>14</v>
      </c>
    </row>
    <row r="44" spans="13:21" x14ac:dyDescent="0.3">
      <c r="M44" s="50" t="s">
        <v>86</v>
      </c>
      <c r="N44">
        <f t="shared" ref="N44:N51" si="8">O32-N32</f>
        <v>6.8100000000000938E-2</v>
      </c>
      <c r="O44" s="55">
        <f t="shared" ref="O44:O51" si="9">(N44/N32)*100</f>
        <v>4.5982444294396307</v>
      </c>
      <c r="P44">
        <f t="shared" ref="P44:P51" si="10">Q32-P32</f>
        <v>-6.5600000000000103E-2</v>
      </c>
      <c r="Q44" s="55">
        <f t="shared" ref="Q44:Q51" si="11">(P44/P32)*100</f>
        <v>-5.2733118971061179</v>
      </c>
      <c r="R44">
        <f t="shared" ref="R44:R51" si="12">S32-R32</f>
        <v>-0.30949999999999989</v>
      </c>
      <c r="S44" s="55">
        <f t="shared" ref="S44:S51" si="13">(R44/R32)*100</f>
        <v>-30.796019900497505</v>
      </c>
      <c r="T44">
        <f t="shared" ref="T44:T51" si="14">U32-T32</f>
        <v>-0.30699999999999905</v>
      </c>
      <c r="U44" s="55">
        <f t="shared" ref="U44:U51" si="15">(T44/T32)*100</f>
        <v>-8.23056300268094</v>
      </c>
    </row>
    <row r="45" spans="13:21" x14ac:dyDescent="0.3">
      <c r="M45" s="57">
        <v>2</v>
      </c>
      <c r="N45">
        <f t="shared" si="8"/>
        <v>0.3899999999999999</v>
      </c>
      <c r="O45" s="55">
        <f t="shared" si="9"/>
        <v>43.333333333333321</v>
      </c>
      <c r="P45">
        <f t="shared" si="10"/>
        <v>-0.63000000000000012</v>
      </c>
      <c r="Q45" s="55">
        <f t="shared" si="11"/>
        <v>-90.000000000000014</v>
      </c>
      <c r="R45">
        <f t="shared" si="12"/>
        <v>-0.36000000000000004</v>
      </c>
      <c r="S45" s="55">
        <f t="shared" si="13"/>
        <v>-90</v>
      </c>
      <c r="T45">
        <f t="shared" si="14"/>
        <v>-4.1999999999999982E-2</v>
      </c>
      <c r="U45" s="55">
        <f t="shared" si="15"/>
        <v>-29.999999999999982</v>
      </c>
    </row>
    <row r="46" spans="13:21" x14ac:dyDescent="0.3">
      <c r="M46" s="57">
        <v>3</v>
      </c>
      <c r="N46">
        <f t="shared" si="8"/>
        <v>0.10000000000000009</v>
      </c>
      <c r="O46" s="55">
        <f t="shared" si="9"/>
        <v>8.333333333333341</v>
      </c>
      <c r="P46">
        <f t="shared" si="10"/>
        <v>0</v>
      </c>
      <c r="Q46" s="55">
        <f t="shared" si="11"/>
        <v>0</v>
      </c>
      <c r="R46">
        <f t="shared" si="12"/>
        <v>-0.39999999999999991</v>
      </c>
      <c r="S46" s="55">
        <f t="shared" si="13"/>
        <v>-49.999999999999993</v>
      </c>
      <c r="T46">
        <f t="shared" si="14"/>
        <v>-0.17100000000000004</v>
      </c>
      <c r="U46" s="55">
        <f t="shared" si="15"/>
        <v>-10.000000000000002</v>
      </c>
    </row>
    <row r="47" spans="13:21" x14ac:dyDescent="0.3">
      <c r="M47" s="57">
        <v>4</v>
      </c>
      <c r="N47">
        <f t="shared" si="8"/>
        <v>0</v>
      </c>
      <c r="O47" s="55">
        <f t="shared" si="9"/>
        <v>0</v>
      </c>
      <c r="P47">
        <f t="shared" si="10"/>
        <v>-5.0000000000000044E-2</v>
      </c>
      <c r="Q47" s="55">
        <f t="shared" si="11"/>
        <v>-4.5454545454545494</v>
      </c>
      <c r="R47">
        <f t="shared" si="12"/>
        <v>-0.25000000000000011</v>
      </c>
      <c r="S47" s="55">
        <f t="shared" si="13"/>
        <v>-22.727272727272734</v>
      </c>
      <c r="T47">
        <f t="shared" si="14"/>
        <v>-4.4999999999999929E-2</v>
      </c>
      <c r="U47" s="55">
        <f t="shared" si="15"/>
        <v>-7.4999999999999876</v>
      </c>
    </row>
    <row r="48" spans="13:21" x14ac:dyDescent="0.3">
      <c r="M48" s="57">
        <v>5</v>
      </c>
      <c r="N48">
        <f t="shared" si="8"/>
        <v>-6.999999999999984E-2</v>
      </c>
      <c r="O48" s="55">
        <f t="shared" si="9"/>
        <v>-3.6842105263157814</v>
      </c>
      <c r="P48">
        <f t="shared" si="10"/>
        <v>-6.999999999999984E-2</v>
      </c>
      <c r="Q48" s="55">
        <f t="shared" si="11"/>
        <v>-3.6842105263157814</v>
      </c>
      <c r="R48">
        <f t="shared" si="12"/>
        <v>-0.15999999999999992</v>
      </c>
      <c r="S48" s="55">
        <f t="shared" si="13"/>
        <v>-13.333333333333327</v>
      </c>
      <c r="T48">
        <f t="shared" si="14"/>
        <v>-2.4000000000000021E-2</v>
      </c>
      <c r="U48" s="55">
        <f t="shared" si="15"/>
        <v>-6.000000000000008</v>
      </c>
    </row>
    <row r="49" spans="13:21" x14ac:dyDescent="0.3">
      <c r="M49" s="57">
        <v>6</v>
      </c>
      <c r="N49">
        <f t="shared" si="8"/>
        <v>-0.16000000000000014</v>
      </c>
      <c r="O49" s="55">
        <f t="shared" si="9"/>
        <v>-7.2727272727272778</v>
      </c>
      <c r="P49">
        <f t="shared" si="10"/>
        <v>-8.9999999999999858E-2</v>
      </c>
      <c r="Q49" s="55">
        <f t="shared" si="11"/>
        <v>-3.9130434782608638</v>
      </c>
      <c r="R49">
        <f t="shared" si="12"/>
        <v>-5.0000000000000044E-2</v>
      </c>
      <c r="S49" s="55">
        <f t="shared" si="13"/>
        <v>-3.3333333333333361</v>
      </c>
      <c r="T49">
        <f t="shared" si="14"/>
        <v>-1.8000000000000016E-2</v>
      </c>
      <c r="U49" s="55">
        <f t="shared" si="15"/>
        <v>-5</v>
      </c>
    </row>
    <row r="50" spans="13:21" x14ac:dyDescent="0.3">
      <c r="M50" s="57">
        <v>7</v>
      </c>
      <c r="N50">
        <f t="shared" si="8"/>
        <v>-4.0000000000000036E-2</v>
      </c>
      <c r="O50" s="55">
        <f t="shared" si="9"/>
        <v>-1.6666666666666683</v>
      </c>
      <c r="P50">
        <f t="shared" si="10"/>
        <v>-2.9999999999999805E-2</v>
      </c>
      <c r="Q50" s="55">
        <f t="shared" si="11"/>
        <v>-1.3043478260869481</v>
      </c>
      <c r="R50">
        <f t="shared" si="12"/>
        <v>-2.9999999999999805E-2</v>
      </c>
      <c r="S50" s="55">
        <f t="shared" si="13"/>
        <v>-1.3043478260869481</v>
      </c>
      <c r="T50">
        <f t="shared" si="14"/>
        <v>-4.0000000000000036E-3</v>
      </c>
      <c r="U50" s="55">
        <f t="shared" si="15"/>
        <v>-1.4285714285714322</v>
      </c>
    </row>
    <row r="51" spans="13:21" x14ac:dyDescent="0.3">
      <c r="M51" s="57">
        <v>8</v>
      </c>
      <c r="N51">
        <f t="shared" si="8"/>
        <v>2.0000000000000018E-2</v>
      </c>
      <c r="O51" s="55">
        <f t="shared" si="9"/>
        <v>0.71428571428571497</v>
      </c>
      <c r="P51">
        <f t="shared" si="10"/>
        <v>-6.0000000000000941E-2</v>
      </c>
      <c r="Q51" s="55">
        <f t="shared" si="11"/>
        <v>-2.307692307692343</v>
      </c>
      <c r="R51">
        <f t="shared" si="12"/>
        <v>-6.0000000000000941E-2</v>
      </c>
      <c r="S51" s="55">
        <f t="shared" si="13"/>
        <v>-2.307692307692343</v>
      </c>
      <c r="T51">
        <f t="shared" si="14"/>
        <v>-2.9999999999999194E-3</v>
      </c>
      <c r="U51" s="55">
        <f t="shared" si="15"/>
        <v>-1.2499999999999654</v>
      </c>
    </row>
    <row r="54" spans="13:21" x14ac:dyDescent="0.3">
      <c r="N54" s="64" t="s">
        <v>82</v>
      </c>
      <c r="O54" s="65"/>
      <c r="P54" s="64" t="s">
        <v>83</v>
      </c>
      <c r="Q54" s="65"/>
      <c r="R54" s="64" t="s">
        <v>84</v>
      </c>
      <c r="S54" s="65"/>
      <c r="T54" s="64" t="s">
        <v>85</v>
      </c>
      <c r="U54" s="65"/>
    </row>
    <row r="55" spans="13:21" x14ac:dyDescent="0.3">
      <c r="N55" t="s">
        <v>53</v>
      </c>
      <c r="O55" t="s">
        <v>14</v>
      </c>
      <c r="P55" t="s">
        <v>53</v>
      </c>
      <c r="Q55" t="s">
        <v>14</v>
      </c>
      <c r="R55" t="s">
        <v>53</v>
      </c>
      <c r="S55" t="s">
        <v>14</v>
      </c>
      <c r="T55" t="s">
        <v>53</v>
      </c>
      <c r="U55" t="s">
        <v>14</v>
      </c>
    </row>
    <row r="56" spans="13:21" x14ac:dyDescent="0.3">
      <c r="M56" s="49" t="s">
        <v>86</v>
      </c>
      <c r="N56" s="55">
        <v>1.488</v>
      </c>
      <c r="O56" s="55">
        <v>1.550012121212121</v>
      </c>
      <c r="P56" s="55">
        <v>1.3283333333333329</v>
      </c>
      <c r="Q56" s="55">
        <v>1.2909999999999999</v>
      </c>
      <c r="R56" s="55">
        <v>1.161</v>
      </c>
      <c r="S56" s="55">
        <v>1.168587301587301</v>
      </c>
      <c r="T56" s="55">
        <v>3.9773333333333332</v>
      </c>
      <c r="U56" s="55">
        <v>4.0095994227994218</v>
      </c>
    </row>
    <row r="57" spans="13:21" x14ac:dyDescent="0.3">
      <c r="M57">
        <v>2</v>
      </c>
      <c r="N57" s="55">
        <v>0.99999999999999989</v>
      </c>
      <c r="O57" s="55">
        <v>1.303030303030303</v>
      </c>
      <c r="P57" s="55">
        <v>1</v>
      </c>
      <c r="Q57" s="55">
        <v>1</v>
      </c>
      <c r="R57" s="55">
        <v>1</v>
      </c>
      <c r="S57" s="55">
        <v>1</v>
      </c>
      <c r="T57" s="55">
        <v>3</v>
      </c>
      <c r="U57" s="55">
        <v>3.3030303030303032</v>
      </c>
    </row>
    <row r="58" spans="13:21" x14ac:dyDescent="0.3">
      <c r="M58">
        <v>3</v>
      </c>
      <c r="N58" s="55">
        <v>1.2</v>
      </c>
      <c r="O58" s="55">
        <v>1.3</v>
      </c>
      <c r="P58" s="55">
        <v>1.1111111111111109</v>
      </c>
      <c r="Q58" s="55">
        <v>1.0526315789473679</v>
      </c>
      <c r="R58" s="55">
        <v>1</v>
      </c>
      <c r="S58" s="55">
        <v>1</v>
      </c>
      <c r="T58" s="55">
        <v>3.3111111111111109</v>
      </c>
      <c r="U58" s="55">
        <v>3.352631578947368</v>
      </c>
    </row>
    <row r="59" spans="13:21" x14ac:dyDescent="0.3">
      <c r="M59">
        <v>4</v>
      </c>
      <c r="N59" s="55">
        <v>1.8</v>
      </c>
      <c r="O59" s="55">
        <v>1.8</v>
      </c>
      <c r="P59" s="55">
        <v>1.1000000000000001</v>
      </c>
      <c r="Q59" s="55">
        <v>1.166666666666667</v>
      </c>
      <c r="R59" s="55">
        <v>1.1000000000000001</v>
      </c>
      <c r="S59" s="55">
        <v>1.214285714285714</v>
      </c>
      <c r="T59" s="55">
        <v>4</v>
      </c>
      <c r="U59" s="55">
        <v>4.1809523809523803</v>
      </c>
    </row>
    <row r="60" spans="13:21" x14ac:dyDescent="0.3">
      <c r="M60">
        <v>5</v>
      </c>
      <c r="N60" s="55">
        <v>1.9</v>
      </c>
      <c r="O60" s="55">
        <v>1.83</v>
      </c>
      <c r="P60" s="55">
        <v>1.9</v>
      </c>
      <c r="Q60" s="55">
        <v>1.83</v>
      </c>
      <c r="R60" s="55">
        <v>1.2</v>
      </c>
      <c r="S60" s="55">
        <v>1.155555555555555</v>
      </c>
      <c r="T60" s="55">
        <v>5</v>
      </c>
      <c r="U60" s="55">
        <v>4.8155555555555551</v>
      </c>
    </row>
    <row r="61" spans="13:21" x14ac:dyDescent="0.3">
      <c r="M61">
        <v>6</v>
      </c>
      <c r="N61" s="55">
        <v>2.2000000000000002</v>
      </c>
      <c r="O61" s="55">
        <v>2.04</v>
      </c>
      <c r="P61" s="55">
        <v>2.2999999999999998</v>
      </c>
      <c r="Q61" s="55">
        <v>2.21</v>
      </c>
      <c r="R61" s="55">
        <v>1.5</v>
      </c>
      <c r="S61" s="55">
        <v>1.45</v>
      </c>
      <c r="T61" s="55">
        <v>6</v>
      </c>
      <c r="U61" s="55">
        <v>5.7000000000000011</v>
      </c>
    </row>
    <row r="62" spans="13:21" x14ac:dyDescent="0.3">
      <c r="M62">
        <v>7</v>
      </c>
      <c r="N62" s="55">
        <v>2.4</v>
      </c>
      <c r="O62" s="55">
        <v>2.36</v>
      </c>
      <c r="P62" s="55">
        <v>2.2999999999999998</v>
      </c>
      <c r="Q62" s="55">
        <v>2.27</v>
      </c>
      <c r="R62" s="55">
        <v>2.2999999999999998</v>
      </c>
      <c r="S62" s="55">
        <v>2.27</v>
      </c>
      <c r="T62" s="55">
        <v>7</v>
      </c>
      <c r="U62" s="55">
        <v>6.9</v>
      </c>
    </row>
    <row r="63" spans="13:21" x14ac:dyDescent="0.3">
      <c r="M63">
        <v>8</v>
      </c>
      <c r="N63" s="55">
        <v>2.8</v>
      </c>
      <c r="O63" s="55">
        <v>2.82</v>
      </c>
      <c r="P63" s="55">
        <v>2.600000000000001</v>
      </c>
      <c r="Q63" s="55">
        <v>2.54</v>
      </c>
      <c r="R63" s="55">
        <v>2.600000000000001</v>
      </c>
      <c r="S63" s="55">
        <v>2.54</v>
      </c>
      <c r="T63" s="55">
        <v>8</v>
      </c>
      <c r="U63" s="55">
        <v>7.8999999999999986</v>
      </c>
    </row>
    <row r="66" spans="1:21" x14ac:dyDescent="0.3">
      <c r="N66" s="64" t="s">
        <v>82</v>
      </c>
      <c r="O66" s="65"/>
      <c r="P66" s="64" t="s">
        <v>83</v>
      </c>
      <c r="Q66" s="65"/>
      <c r="R66" s="64" t="s">
        <v>84</v>
      </c>
      <c r="S66" s="65"/>
      <c r="T66" s="64" t="s">
        <v>85</v>
      </c>
      <c r="U66" s="65"/>
    </row>
    <row r="67" spans="1:21" x14ac:dyDescent="0.3">
      <c r="N67" t="s">
        <v>53</v>
      </c>
      <c r="O67" t="s">
        <v>14</v>
      </c>
      <c r="P67" t="s">
        <v>53</v>
      </c>
      <c r="Q67" t="s">
        <v>14</v>
      </c>
      <c r="R67" t="s">
        <v>53</v>
      </c>
      <c r="S67" t="s">
        <v>14</v>
      </c>
      <c r="T67" t="s">
        <v>53</v>
      </c>
      <c r="U67" t="s">
        <v>14</v>
      </c>
    </row>
    <row r="68" spans="1:21" x14ac:dyDescent="0.3">
      <c r="M68" s="49" t="s">
        <v>86</v>
      </c>
      <c r="N68" s="55">
        <f t="shared" ref="N68:N75" si="16">O56-N56</f>
        <v>6.2012121212120963E-2</v>
      </c>
      <c r="O68" s="55">
        <f t="shared" ref="O68:O75" si="17">(N68/N56)*100</f>
        <v>4.1674812642554411</v>
      </c>
      <c r="P68" s="55">
        <f t="shared" ref="P68:P75" si="18">Q56-P56</f>
        <v>-3.7333333333332996E-2</v>
      </c>
      <c r="Q68" s="55">
        <f t="shared" ref="Q68:Q75" si="19">(P68/P56)*100</f>
        <v>-2.8105395232120207</v>
      </c>
      <c r="R68" s="55">
        <f t="shared" ref="R68:R75" si="20">S56-R56</f>
        <v>7.5873015873009209E-3</v>
      </c>
      <c r="S68" s="55">
        <f t="shared" ref="S68:S75" si="21">(R68/R56)*100</f>
        <v>0.65351434860473046</v>
      </c>
      <c r="T68" s="55">
        <f t="shared" ref="T68:T75" si="22">U56-T56</f>
        <v>3.2266089466088665E-2</v>
      </c>
      <c r="U68" s="55">
        <f t="shared" ref="U68:U75" si="23">(T68/T56)*100</f>
        <v>0.81124931611017437</v>
      </c>
    </row>
    <row r="69" spans="1:21" x14ac:dyDescent="0.3">
      <c r="M69">
        <v>2</v>
      </c>
      <c r="N69" s="55">
        <f t="shared" si="16"/>
        <v>0.30303030303030309</v>
      </c>
      <c r="O69" s="55">
        <f t="shared" si="17"/>
        <v>30.303030303030315</v>
      </c>
      <c r="P69" s="55">
        <f t="shared" si="18"/>
        <v>0</v>
      </c>
      <c r="Q69" s="55">
        <f t="shared" si="19"/>
        <v>0</v>
      </c>
      <c r="R69" s="55">
        <f t="shared" si="20"/>
        <v>0</v>
      </c>
      <c r="S69" s="55">
        <f t="shared" si="21"/>
        <v>0</v>
      </c>
      <c r="T69" s="55">
        <f t="shared" si="22"/>
        <v>0.30303030303030321</v>
      </c>
      <c r="U69" s="55">
        <f t="shared" si="23"/>
        <v>10.101010101010106</v>
      </c>
    </row>
    <row r="70" spans="1:21" x14ac:dyDescent="0.3">
      <c r="M70">
        <v>3</v>
      </c>
      <c r="N70" s="55">
        <f t="shared" si="16"/>
        <v>0.10000000000000009</v>
      </c>
      <c r="O70" s="55">
        <f t="shared" si="17"/>
        <v>8.333333333333341</v>
      </c>
      <c r="P70" s="55">
        <f t="shared" si="18"/>
        <v>-5.847953216374302E-2</v>
      </c>
      <c r="Q70" s="55">
        <f t="shared" si="19"/>
        <v>-5.2631578947368727</v>
      </c>
      <c r="R70" s="55">
        <f t="shared" si="20"/>
        <v>0</v>
      </c>
      <c r="S70" s="55">
        <f t="shared" si="21"/>
        <v>0</v>
      </c>
      <c r="T70" s="55">
        <f t="shared" si="22"/>
        <v>4.1520467836257069E-2</v>
      </c>
      <c r="U70" s="55">
        <f t="shared" si="23"/>
        <v>1.253973860826556</v>
      </c>
    </row>
    <row r="71" spans="1:21" x14ac:dyDescent="0.3">
      <c r="M71">
        <v>4</v>
      </c>
      <c r="N71" s="55">
        <f t="shared" si="16"/>
        <v>0</v>
      </c>
      <c r="O71" s="55">
        <f t="shared" si="17"/>
        <v>0</v>
      </c>
      <c r="P71" s="55">
        <f t="shared" si="18"/>
        <v>6.6666666666666874E-2</v>
      </c>
      <c r="Q71" s="55">
        <f t="shared" si="19"/>
        <v>6.0606060606060792</v>
      </c>
      <c r="R71" s="55">
        <f t="shared" si="20"/>
        <v>0.11428571428571388</v>
      </c>
      <c r="S71" s="55">
        <f t="shared" si="21"/>
        <v>10.389610389610352</v>
      </c>
      <c r="T71" s="55">
        <f t="shared" si="22"/>
        <v>0.18095238095238031</v>
      </c>
      <c r="U71" s="55">
        <f t="shared" si="23"/>
        <v>4.5238095238095077</v>
      </c>
    </row>
    <row r="72" spans="1:21" x14ac:dyDescent="0.3">
      <c r="M72">
        <v>5</v>
      </c>
      <c r="N72" s="55">
        <f t="shared" si="16"/>
        <v>-6.999999999999984E-2</v>
      </c>
      <c r="O72" s="55">
        <f t="shared" si="17"/>
        <v>-3.6842105263157814</v>
      </c>
      <c r="P72" s="55">
        <f t="shared" si="18"/>
        <v>-6.999999999999984E-2</v>
      </c>
      <c r="Q72" s="55">
        <f t="shared" si="19"/>
        <v>-3.6842105263157814</v>
      </c>
      <c r="R72" s="55">
        <f t="shared" si="20"/>
        <v>-4.4444444444444953E-2</v>
      </c>
      <c r="S72" s="55">
        <f t="shared" si="21"/>
        <v>-3.7037037037037464</v>
      </c>
      <c r="T72" s="55">
        <f t="shared" si="22"/>
        <v>-0.18444444444444485</v>
      </c>
      <c r="U72" s="55">
        <f t="shared" si="23"/>
        <v>-3.6888888888888971</v>
      </c>
    </row>
    <row r="73" spans="1:21" x14ac:dyDescent="0.3">
      <c r="M73">
        <v>6</v>
      </c>
      <c r="N73" s="55">
        <f t="shared" si="16"/>
        <v>-0.16000000000000014</v>
      </c>
      <c r="O73" s="55">
        <f t="shared" si="17"/>
        <v>-7.2727272727272778</v>
      </c>
      <c r="P73" s="55">
        <f t="shared" si="18"/>
        <v>-8.9999999999999858E-2</v>
      </c>
      <c r="Q73" s="55">
        <f t="shared" si="19"/>
        <v>-3.9130434782608638</v>
      </c>
      <c r="R73" s="55">
        <f t="shared" si="20"/>
        <v>-5.0000000000000044E-2</v>
      </c>
      <c r="S73" s="55">
        <f t="shared" si="21"/>
        <v>-3.3333333333333361</v>
      </c>
      <c r="T73" s="55">
        <f t="shared" si="22"/>
        <v>-0.29999999999999893</v>
      </c>
      <c r="U73" s="55">
        <f t="shared" si="23"/>
        <v>-4.9999999999999822</v>
      </c>
    </row>
    <row r="74" spans="1:21" x14ac:dyDescent="0.3">
      <c r="M74">
        <v>7</v>
      </c>
      <c r="N74" s="55">
        <f t="shared" si="16"/>
        <v>-4.0000000000000036E-2</v>
      </c>
      <c r="O74" s="55">
        <f t="shared" si="17"/>
        <v>-1.6666666666666683</v>
      </c>
      <c r="P74" s="55">
        <f t="shared" si="18"/>
        <v>-2.9999999999999805E-2</v>
      </c>
      <c r="Q74" s="55">
        <f t="shared" si="19"/>
        <v>-1.3043478260869481</v>
      </c>
      <c r="R74" s="55">
        <f t="shared" si="20"/>
        <v>-2.9999999999999805E-2</v>
      </c>
      <c r="S74" s="55">
        <f t="shared" si="21"/>
        <v>-1.3043478260869481</v>
      </c>
      <c r="T74" s="55">
        <f t="shared" si="22"/>
        <v>-9.9999999999999645E-2</v>
      </c>
      <c r="U74" s="55">
        <f t="shared" si="23"/>
        <v>-1.4285714285714235</v>
      </c>
    </row>
    <row r="75" spans="1:21" x14ac:dyDescent="0.3">
      <c r="M75">
        <v>8</v>
      </c>
      <c r="N75" s="55">
        <f t="shared" si="16"/>
        <v>2.0000000000000018E-2</v>
      </c>
      <c r="O75" s="55">
        <f t="shared" si="17"/>
        <v>0.71428571428571497</v>
      </c>
      <c r="P75" s="55">
        <f t="shared" si="18"/>
        <v>-6.0000000000000941E-2</v>
      </c>
      <c r="Q75" s="55">
        <f t="shared" si="19"/>
        <v>-2.307692307692343</v>
      </c>
      <c r="R75" s="55">
        <f t="shared" si="20"/>
        <v>-6.0000000000000941E-2</v>
      </c>
      <c r="S75" s="55">
        <f t="shared" si="21"/>
        <v>-2.307692307692343</v>
      </c>
      <c r="T75" s="55">
        <f t="shared" si="22"/>
        <v>-0.10000000000000142</v>
      </c>
      <c r="U75" s="55">
        <f t="shared" si="23"/>
        <v>-1.2500000000000178</v>
      </c>
    </row>
    <row r="76" spans="1:21" x14ac:dyDescent="0.3">
      <c r="A76" t="e">
        <f>A76:H135Posjeta po klijentu po tipu i periodu</f>
        <v>#NAME?</v>
      </c>
      <c r="I76" t="s">
        <v>88</v>
      </c>
    </row>
    <row r="77" spans="1:21" x14ac:dyDescent="0.3">
      <c r="B77">
        <v>0.9930000000000001</v>
      </c>
      <c r="C77">
        <v>0.92200000000000015</v>
      </c>
      <c r="D77">
        <v>0.84400000000000008</v>
      </c>
      <c r="E77">
        <v>2.7589999999999999</v>
      </c>
      <c r="I77" s="55">
        <f t="shared" ref="I77:K84" si="24">B77/$E77*100</f>
        <v>35.991301196085544</v>
      </c>
      <c r="J77" s="55">
        <f t="shared" si="24"/>
        <v>33.41790503805727</v>
      </c>
      <c r="K77" s="55">
        <f t="shared" si="24"/>
        <v>30.5907937658572</v>
      </c>
    </row>
    <row r="78" spans="1:21" x14ac:dyDescent="0.3">
      <c r="A78">
        <v>2</v>
      </c>
      <c r="B78">
        <v>0.90000000000000013</v>
      </c>
      <c r="C78">
        <v>0.70000000000000007</v>
      </c>
      <c r="D78">
        <v>0.4</v>
      </c>
      <c r="E78">
        <v>2</v>
      </c>
      <c r="I78" s="55">
        <f t="shared" si="24"/>
        <v>45.000000000000007</v>
      </c>
      <c r="J78" s="55">
        <f t="shared" si="24"/>
        <v>35</v>
      </c>
      <c r="K78" s="55">
        <f t="shared" si="24"/>
        <v>20</v>
      </c>
    </row>
    <row r="79" spans="1:21" x14ac:dyDescent="0.3">
      <c r="A79">
        <v>3</v>
      </c>
      <c r="B79">
        <v>1</v>
      </c>
      <c r="C79">
        <v>0.9</v>
      </c>
      <c r="D79">
        <v>0.79999999999999993</v>
      </c>
      <c r="E79">
        <v>2.7</v>
      </c>
      <c r="I79" s="55">
        <f t="shared" si="24"/>
        <v>37.037037037037038</v>
      </c>
      <c r="J79" s="55">
        <f t="shared" si="24"/>
        <v>33.333333333333329</v>
      </c>
      <c r="K79" s="55">
        <f t="shared" si="24"/>
        <v>29.629629629629626</v>
      </c>
    </row>
    <row r="80" spans="1:21" x14ac:dyDescent="0.3">
      <c r="A80">
        <v>4</v>
      </c>
      <c r="B80">
        <v>1</v>
      </c>
      <c r="C80">
        <v>1</v>
      </c>
      <c r="D80">
        <v>1</v>
      </c>
      <c r="E80">
        <v>3</v>
      </c>
      <c r="I80" s="55">
        <f t="shared" si="24"/>
        <v>33.333333333333329</v>
      </c>
      <c r="J80" s="55">
        <f t="shared" si="24"/>
        <v>33.333333333333329</v>
      </c>
      <c r="K80" s="55">
        <f t="shared" si="24"/>
        <v>33.333333333333329</v>
      </c>
    </row>
    <row r="81" spans="1:33" x14ac:dyDescent="0.3">
      <c r="A81">
        <v>5</v>
      </c>
      <c r="B81">
        <v>1</v>
      </c>
      <c r="C81">
        <v>1</v>
      </c>
      <c r="D81">
        <v>1</v>
      </c>
      <c r="E81">
        <v>3</v>
      </c>
      <c r="I81" s="55">
        <f t="shared" si="24"/>
        <v>33.333333333333329</v>
      </c>
      <c r="J81" s="55">
        <f t="shared" si="24"/>
        <v>33.333333333333329</v>
      </c>
      <c r="K81" s="55">
        <f t="shared" si="24"/>
        <v>33.333333333333329</v>
      </c>
    </row>
    <row r="82" spans="1:33" x14ac:dyDescent="0.3">
      <c r="A82">
        <v>6</v>
      </c>
      <c r="B82">
        <v>1</v>
      </c>
      <c r="C82">
        <v>1</v>
      </c>
      <c r="D82">
        <v>1</v>
      </c>
      <c r="E82">
        <v>3</v>
      </c>
      <c r="I82" s="55">
        <f t="shared" si="24"/>
        <v>33.333333333333329</v>
      </c>
      <c r="J82" s="55">
        <f t="shared" si="24"/>
        <v>33.333333333333329</v>
      </c>
      <c r="K82" s="55">
        <f t="shared" si="24"/>
        <v>33.333333333333329</v>
      </c>
    </row>
    <row r="83" spans="1:33" x14ac:dyDescent="0.3">
      <c r="A83">
        <v>7</v>
      </c>
      <c r="B83">
        <v>1</v>
      </c>
      <c r="C83">
        <v>1</v>
      </c>
      <c r="D83">
        <v>1</v>
      </c>
      <c r="E83">
        <v>3</v>
      </c>
      <c r="I83" s="55">
        <f t="shared" si="24"/>
        <v>33.333333333333329</v>
      </c>
      <c r="J83" s="55">
        <f t="shared" si="24"/>
        <v>33.333333333333329</v>
      </c>
      <c r="K83" s="55">
        <f t="shared" si="24"/>
        <v>33.333333333333329</v>
      </c>
    </row>
    <row r="84" spans="1:33" x14ac:dyDescent="0.3">
      <c r="A84">
        <v>8</v>
      </c>
      <c r="B84">
        <v>1</v>
      </c>
      <c r="C84">
        <v>1</v>
      </c>
      <c r="D84">
        <v>1</v>
      </c>
      <c r="E84">
        <v>3</v>
      </c>
      <c r="I84" s="55">
        <f t="shared" si="24"/>
        <v>33.333333333333329</v>
      </c>
      <c r="J84" s="55">
        <f t="shared" si="24"/>
        <v>33.333333333333329</v>
      </c>
      <c r="K84" s="55">
        <f t="shared" si="24"/>
        <v>33.333333333333329</v>
      </c>
      <c r="M84" t="s">
        <v>89</v>
      </c>
    </row>
    <row r="85" spans="1:33" x14ac:dyDescent="0.3">
      <c r="A85" t="s">
        <v>51</v>
      </c>
      <c r="M85" s="69" t="s">
        <v>82</v>
      </c>
      <c r="N85" s="65"/>
      <c r="O85" s="69" t="s">
        <v>83</v>
      </c>
      <c r="P85" s="65"/>
      <c r="Q85" s="69" t="s">
        <v>84</v>
      </c>
      <c r="R85" s="65"/>
      <c r="AB85" s="69" t="s">
        <v>82</v>
      </c>
      <c r="AC85" s="65"/>
      <c r="AD85" s="69" t="s">
        <v>83</v>
      </c>
      <c r="AE85" s="65"/>
      <c r="AF85" s="69" t="s">
        <v>84</v>
      </c>
      <c r="AG85" s="65"/>
    </row>
    <row r="86" spans="1:33" x14ac:dyDescent="0.3">
      <c r="B86" t="s">
        <v>90</v>
      </c>
      <c r="C86" t="s">
        <v>91</v>
      </c>
      <c r="D86" t="s">
        <v>92</v>
      </c>
      <c r="E86" t="s">
        <v>93</v>
      </c>
      <c r="F86" t="s">
        <v>94</v>
      </c>
      <c r="G86" t="s">
        <v>95</v>
      </c>
      <c r="M86" s="60" t="s">
        <v>53</v>
      </c>
      <c r="N86" s="60" t="s">
        <v>14</v>
      </c>
      <c r="O86" s="60" t="s">
        <v>53</v>
      </c>
      <c r="P86" s="60" t="s">
        <v>14</v>
      </c>
      <c r="Q86" s="60" t="s">
        <v>53</v>
      </c>
      <c r="R86" s="60" t="s">
        <v>14</v>
      </c>
      <c r="X86" t="s">
        <v>96</v>
      </c>
      <c r="AB86" s="60" t="s">
        <v>87</v>
      </c>
      <c r="AC86" s="60" t="s">
        <v>13</v>
      </c>
      <c r="AD86" s="60" t="s">
        <v>87</v>
      </c>
      <c r="AE86" s="60" t="s">
        <v>13</v>
      </c>
      <c r="AF86" s="60" t="s">
        <v>87</v>
      </c>
      <c r="AG86" s="60" t="s">
        <v>13</v>
      </c>
    </row>
    <row r="87" spans="1:33" x14ac:dyDescent="0.3">
      <c r="A87">
        <v>2</v>
      </c>
      <c r="B87">
        <v>0.9</v>
      </c>
      <c r="C87">
        <v>0.6</v>
      </c>
      <c r="D87">
        <v>0.3</v>
      </c>
      <c r="E87">
        <v>0.90000000000000013</v>
      </c>
      <c r="F87">
        <v>0.6</v>
      </c>
      <c r="G87">
        <v>0.3</v>
      </c>
      <c r="M87" s="51">
        <f t="shared" ref="M87:M94" si="25">I77</f>
        <v>35.991301196085544</v>
      </c>
      <c r="N87" s="51">
        <f t="shared" ref="N87:N94" si="26">I96</f>
        <v>41.148857319332919</v>
      </c>
      <c r="O87" s="51">
        <f t="shared" ref="O87:O94" si="27">J77</f>
        <v>33.41790503805727</v>
      </c>
      <c r="P87" s="51">
        <f t="shared" ref="P87:P94" si="28">J96</f>
        <v>36.705785464278357</v>
      </c>
      <c r="Q87" s="51">
        <f t="shared" ref="Q87:Q94" si="29">K77</f>
        <v>30.5907937658572</v>
      </c>
      <c r="R87" s="51">
        <f t="shared" ref="R87:R94" si="30">K96</f>
        <v>22.145357216388721</v>
      </c>
      <c r="T87" s="55">
        <f t="shared" ref="T87:V94" si="31">I96-I77</f>
        <v>5.1575561232473746</v>
      </c>
      <c r="U87" s="55">
        <f t="shared" si="31"/>
        <v>3.2878804262210863</v>
      </c>
      <c r="V87" s="55">
        <f t="shared" si="31"/>
        <v>-8.4454365494684787</v>
      </c>
      <c r="X87" s="55">
        <f t="shared" ref="X87:Z94" si="32">T87/I77*100</f>
        <v>14.330007395810176</v>
      </c>
      <c r="Y87" s="55">
        <f t="shared" si="32"/>
        <v>9.8386790628459622</v>
      </c>
      <c r="Z87" s="55">
        <f t="shared" si="32"/>
        <v>-27.607771848321715</v>
      </c>
      <c r="AB87" s="51">
        <f t="shared" ref="AB87:AB94" si="33">T87</f>
        <v>5.1575561232473746</v>
      </c>
      <c r="AC87" s="51">
        <f t="shared" ref="AC87:AC94" si="34">X87</f>
        <v>14.330007395810176</v>
      </c>
      <c r="AD87" s="51">
        <f t="shared" ref="AD87:AD94" si="35">U87</f>
        <v>3.2878804262210863</v>
      </c>
      <c r="AE87" s="51">
        <f t="shared" ref="AE87:AE94" si="36">Y87</f>
        <v>9.8386790628459622</v>
      </c>
      <c r="AF87" s="51">
        <f t="shared" ref="AF87:AF94" si="37">V87</f>
        <v>-8.4454365494684787</v>
      </c>
      <c r="AG87" s="51">
        <f t="shared" ref="AG87:AG94" si="38">Z87</f>
        <v>-27.607771848321715</v>
      </c>
    </row>
    <row r="88" spans="1:33" x14ac:dyDescent="0.3">
      <c r="A88">
        <v>3</v>
      </c>
      <c r="B88">
        <v>0.5</v>
      </c>
      <c r="C88">
        <v>0.3</v>
      </c>
      <c r="D88">
        <v>0.2</v>
      </c>
      <c r="E88">
        <v>0.35</v>
      </c>
      <c r="F88">
        <v>0.21</v>
      </c>
      <c r="G88">
        <v>0.14000000000000001</v>
      </c>
      <c r="L88">
        <v>2</v>
      </c>
      <c r="M88" s="51">
        <f t="shared" si="25"/>
        <v>45.000000000000007</v>
      </c>
      <c r="N88" s="51">
        <f t="shared" si="26"/>
        <v>89.999999999999986</v>
      </c>
      <c r="O88" s="51">
        <f t="shared" si="27"/>
        <v>35</v>
      </c>
      <c r="P88" s="51">
        <f t="shared" si="28"/>
        <v>6.3636363636363633</v>
      </c>
      <c r="Q88" s="51">
        <f t="shared" si="29"/>
        <v>20</v>
      </c>
      <c r="R88" s="51">
        <f t="shared" si="30"/>
        <v>3.6363636363636349</v>
      </c>
      <c r="T88" s="55">
        <f t="shared" si="31"/>
        <v>44.999999999999979</v>
      </c>
      <c r="U88" s="55">
        <f t="shared" si="31"/>
        <v>-28.636363636363637</v>
      </c>
      <c r="V88" s="55">
        <f t="shared" si="31"/>
        <v>-16.363636363636367</v>
      </c>
      <c r="X88" s="55">
        <f t="shared" si="32"/>
        <v>99.999999999999929</v>
      </c>
      <c r="Y88" s="55">
        <f t="shared" si="32"/>
        <v>-81.818181818181827</v>
      </c>
      <c r="Z88" s="55">
        <f t="shared" si="32"/>
        <v>-81.818181818181841</v>
      </c>
      <c r="AA88">
        <v>2</v>
      </c>
      <c r="AB88" s="51">
        <f t="shared" si="33"/>
        <v>44.999999999999979</v>
      </c>
      <c r="AC88" s="51">
        <f t="shared" si="34"/>
        <v>99.999999999999929</v>
      </c>
      <c r="AD88" s="51">
        <f t="shared" si="35"/>
        <v>-28.636363636363637</v>
      </c>
      <c r="AE88" s="51">
        <f t="shared" si="36"/>
        <v>-81.818181818181827</v>
      </c>
      <c r="AF88" s="51">
        <f t="shared" si="37"/>
        <v>-16.363636363636367</v>
      </c>
      <c r="AG88" s="51">
        <f t="shared" si="38"/>
        <v>-81.818181818181841</v>
      </c>
    </row>
    <row r="89" spans="1:33" x14ac:dyDescent="0.3">
      <c r="A89">
        <v>4</v>
      </c>
      <c r="B89">
        <v>0.5</v>
      </c>
      <c r="C89">
        <v>0.3</v>
      </c>
      <c r="D89">
        <v>0.20000000000000009</v>
      </c>
      <c r="E89">
        <v>0.40000000000000008</v>
      </c>
      <c r="F89">
        <v>0.2</v>
      </c>
      <c r="G89">
        <v>0.20000000000000009</v>
      </c>
      <c r="L89">
        <v>3</v>
      </c>
      <c r="M89" s="51">
        <f t="shared" si="25"/>
        <v>37.037037037037038</v>
      </c>
      <c r="N89" s="51">
        <f t="shared" si="26"/>
        <v>42.553191489361701</v>
      </c>
      <c r="O89" s="51">
        <f t="shared" si="27"/>
        <v>33.333333333333329</v>
      </c>
      <c r="P89" s="51">
        <f t="shared" si="28"/>
        <v>40.425531914893611</v>
      </c>
      <c r="Q89" s="51">
        <f t="shared" si="29"/>
        <v>29.629629629629626</v>
      </c>
      <c r="R89" s="51">
        <f t="shared" si="30"/>
        <v>17.021276595744681</v>
      </c>
      <c r="T89" s="55">
        <f t="shared" si="31"/>
        <v>5.5161544523246633</v>
      </c>
      <c r="U89" s="55">
        <f t="shared" si="31"/>
        <v>7.0921985815602824</v>
      </c>
      <c r="V89" s="55">
        <f t="shared" si="31"/>
        <v>-12.608353033884946</v>
      </c>
      <c r="X89" s="55">
        <f t="shared" si="32"/>
        <v>14.89361702127659</v>
      </c>
      <c r="Y89" s="55">
        <f t="shared" si="32"/>
        <v>21.276595744680851</v>
      </c>
      <c r="Z89" s="55">
        <f t="shared" si="32"/>
        <v>-42.553191489361694</v>
      </c>
      <c r="AA89">
        <v>3</v>
      </c>
      <c r="AB89" s="51">
        <f t="shared" si="33"/>
        <v>5.5161544523246633</v>
      </c>
      <c r="AC89" s="51">
        <f t="shared" si="34"/>
        <v>14.89361702127659</v>
      </c>
      <c r="AD89" s="51">
        <f t="shared" si="35"/>
        <v>7.0921985815602824</v>
      </c>
      <c r="AE89" s="51">
        <f t="shared" si="36"/>
        <v>21.276595744680851</v>
      </c>
      <c r="AF89" s="51">
        <f t="shared" si="37"/>
        <v>-12.608353033884946</v>
      </c>
      <c r="AG89" s="51">
        <f t="shared" si="38"/>
        <v>-42.553191489361694</v>
      </c>
    </row>
    <row r="90" spans="1:33" x14ac:dyDescent="0.3">
      <c r="A90">
        <v>5</v>
      </c>
      <c r="B90">
        <v>0.3</v>
      </c>
      <c r="C90">
        <v>0.3</v>
      </c>
      <c r="D90">
        <v>0</v>
      </c>
      <c r="E90">
        <v>0.1</v>
      </c>
      <c r="F90">
        <v>0.1</v>
      </c>
      <c r="G90">
        <v>0</v>
      </c>
      <c r="L90">
        <v>4</v>
      </c>
      <c r="M90" s="51">
        <f t="shared" si="25"/>
        <v>33.333333333333329</v>
      </c>
      <c r="N90" s="51">
        <f t="shared" si="26"/>
        <v>38.461538461538446</v>
      </c>
      <c r="O90" s="51">
        <f t="shared" si="27"/>
        <v>33.333333333333329</v>
      </c>
      <c r="P90" s="51">
        <f t="shared" si="28"/>
        <v>34.615384615384606</v>
      </c>
      <c r="Q90" s="51">
        <f t="shared" si="29"/>
        <v>33.333333333333329</v>
      </c>
      <c r="R90" s="51">
        <f t="shared" si="30"/>
        <v>26.923076923076923</v>
      </c>
      <c r="T90" s="55">
        <f t="shared" si="31"/>
        <v>5.1282051282051171</v>
      </c>
      <c r="U90" s="55">
        <f t="shared" si="31"/>
        <v>1.2820512820512775</v>
      </c>
      <c r="V90" s="55">
        <f t="shared" si="31"/>
        <v>-6.4102564102564052</v>
      </c>
      <c r="X90" s="55">
        <f t="shared" si="32"/>
        <v>15.384615384615351</v>
      </c>
      <c r="Y90" s="55">
        <f t="shared" si="32"/>
        <v>3.8461538461538334</v>
      </c>
      <c r="Z90" s="55">
        <f t="shared" si="32"/>
        <v>-19.230769230769219</v>
      </c>
      <c r="AA90">
        <v>4</v>
      </c>
      <c r="AB90" s="51">
        <f t="shared" si="33"/>
        <v>5.1282051282051171</v>
      </c>
      <c r="AC90" s="51">
        <f t="shared" si="34"/>
        <v>15.384615384615351</v>
      </c>
      <c r="AD90" s="51">
        <f t="shared" si="35"/>
        <v>1.2820512820512775</v>
      </c>
      <c r="AE90" s="51">
        <f t="shared" si="36"/>
        <v>3.8461538461538334</v>
      </c>
      <c r="AF90" s="51">
        <f t="shared" si="37"/>
        <v>-6.4102564102564052</v>
      </c>
      <c r="AG90" s="51">
        <f t="shared" si="38"/>
        <v>-19.230769230769219</v>
      </c>
    </row>
    <row r="91" spans="1:33" x14ac:dyDescent="0.3">
      <c r="A91">
        <v>6</v>
      </c>
      <c r="B91">
        <v>0.3</v>
      </c>
      <c r="C91">
        <v>0.3</v>
      </c>
      <c r="D91">
        <v>0</v>
      </c>
      <c r="E91">
        <v>0</v>
      </c>
      <c r="F91">
        <v>0</v>
      </c>
      <c r="G91">
        <v>0</v>
      </c>
      <c r="L91">
        <v>5</v>
      </c>
      <c r="M91" s="51">
        <f t="shared" si="25"/>
        <v>33.333333333333329</v>
      </c>
      <c r="N91" s="51">
        <f t="shared" si="26"/>
        <v>34.482758620689658</v>
      </c>
      <c r="O91" s="51">
        <f t="shared" si="27"/>
        <v>33.333333333333329</v>
      </c>
      <c r="P91" s="51">
        <f t="shared" si="28"/>
        <v>34.482758620689658</v>
      </c>
      <c r="Q91" s="51">
        <f t="shared" si="29"/>
        <v>33.333333333333329</v>
      </c>
      <c r="R91" s="51">
        <f t="shared" si="30"/>
        <v>31.03448275862069</v>
      </c>
      <c r="T91" s="55">
        <f t="shared" si="31"/>
        <v>1.1494252873563298</v>
      </c>
      <c r="U91" s="55">
        <f t="shared" si="31"/>
        <v>1.1494252873563298</v>
      </c>
      <c r="V91" s="55">
        <f t="shared" si="31"/>
        <v>-2.2988505747126382</v>
      </c>
      <c r="X91" s="55">
        <f t="shared" si="32"/>
        <v>3.4482758620689897</v>
      </c>
      <c r="Y91" s="55">
        <f t="shared" si="32"/>
        <v>3.4482758620689897</v>
      </c>
      <c r="Z91" s="55">
        <f t="shared" si="32"/>
        <v>-6.8965517241379155</v>
      </c>
      <c r="AA91">
        <v>5</v>
      </c>
      <c r="AB91" s="51">
        <f t="shared" si="33"/>
        <v>1.1494252873563298</v>
      </c>
      <c r="AC91" s="51">
        <f t="shared" si="34"/>
        <v>3.4482758620689897</v>
      </c>
      <c r="AD91" s="51">
        <f t="shared" si="35"/>
        <v>1.1494252873563298</v>
      </c>
      <c r="AE91" s="51">
        <f t="shared" si="36"/>
        <v>3.4482758620689897</v>
      </c>
      <c r="AF91" s="51">
        <f t="shared" si="37"/>
        <v>-2.2988505747126382</v>
      </c>
      <c r="AG91" s="51">
        <f t="shared" si="38"/>
        <v>-6.8965517241379155</v>
      </c>
    </row>
    <row r="92" spans="1:33" x14ac:dyDescent="0.3">
      <c r="A92">
        <v>7</v>
      </c>
      <c r="B92">
        <v>0.1</v>
      </c>
      <c r="C92">
        <v>0.1</v>
      </c>
      <c r="D92">
        <v>0</v>
      </c>
      <c r="E92">
        <v>0</v>
      </c>
      <c r="F92">
        <v>0</v>
      </c>
      <c r="G92">
        <v>0</v>
      </c>
      <c r="L92">
        <v>6</v>
      </c>
      <c r="M92" s="51">
        <f t="shared" si="25"/>
        <v>33.333333333333329</v>
      </c>
      <c r="N92" s="51">
        <f t="shared" si="26"/>
        <v>33.333333333333329</v>
      </c>
      <c r="O92" s="51">
        <f t="shared" si="27"/>
        <v>33.333333333333329</v>
      </c>
      <c r="P92" s="51">
        <f t="shared" si="28"/>
        <v>33.333333333333329</v>
      </c>
      <c r="Q92" s="51">
        <f t="shared" si="29"/>
        <v>33.333333333333329</v>
      </c>
      <c r="R92" s="51">
        <f t="shared" si="30"/>
        <v>33.333333333333329</v>
      </c>
      <c r="T92" s="55">
        <f t="shared" si="31"/>
        <v>0</v>
      </c>
      <c r="U92" s="55">
        <f t="shared" si="31"/>
        <v>0</v>
      </c>
      <c r="V92" s="55">
        <f t="shared" si="31"/>
        <v>0</v>
      </c>
      <c r="X92" s="55">
        <f t="shared" si="32"/>
        <v>0</v>
      </c>
      <c r="Y92" s="55">
        <f t="shared" si="32"/>
        <v>0</v>
      </c>
      <c r="Z92" s="55">
        <f t="shared" si="32"/>
        <v>0</v>
      </c>
      <c r="AA92">
        <v>6</v>
      </c>
      <c r="AB92" s="51">
        <f t="shared" si="33"/>
        <v>0</v>
      </c>
      <c r="AC92" s="51">
        <f t="shared" si="34"/>
        <v>0</v>
      </c>
      <c r="AD92" s="51">
        <f t="shared" si="35"/>
        <v>0</v>
      </c>
      <c r="AE92" s="51">
        <f t="shared" si="36"/>
        <v>0</v>
      </c>
      <c r="AF92" s="51">
        <f t="shared" si="37"/>
        <v>0</v>
      </c>
      <c r="AG92" s="51">
        <f t="shared" si="38"/>
        <v>0</v>
      </c>
    </row>
    <row r="93" spans="1:33" x14ac:dyDescent="0.3">
      <c r="A93">
        <v>8</v>
      </c>
      <c r="B93">
        <v>0.1</v>
      </c>
      <c r="C93">
        <v>9.9999999999999992E-2</v>
      </c>
      <c r="D93">
        <v>0</v>
      </c>
      <c r="E93">
        <v>0</v>
      </c>
      <c r="F93">
        <v>0</v>
      </c>
      <c r="G93">
        <v>0</v>
      </c>
      <c r="L93">
        <v>7</v>
      </c>
      <c r="M93" s="51">
        <f t="shared" si="25"/>
        <v>33.333333333333329</v>
      </c>
      <c r="N93" s="51">
        <f t="shared" si="26"/>
        <v>33.333333333333329</v>
      </c>
      <c r="O93" s="51">
        <f t="shared" si="27"/>
        <v>33.333333333333329</v>
      </c>
      <c r="P93" s="51">
        <f t="shared" si="28"/>
        <v>33.333333333333329</v>
      </c>
      <c r="Q93" s="51">
        <f t="shared" si="29"/>
        <v>33.333333333333329</v>
      </c>
      <c r="R93" s="51">
        <f t="shared" si="30"/>
        <v>33.333333333333329</v>
      </c>
      <c r="T93" s="55">
        <f t="shared" si="31"/>
        <v>0</v>
      </c>
      <c r="U93" s="55">
        <f t="shared" si="31"/>
        <v>0</v>
      </c>
      <c r="V93" s="55">
        <f t="shared" si="31"/>
        <v>0</v>
      </c>
      <c r="X93" s="55">
        <f t="shared" si="32"/>
        <v>0</v>
      </c>
      <c r="Y93" s="55">
        <f t="shared" si="32"/>
        <v>0</v>
      </c>
      <c r="Z93" s="55">
        <f t="shared" si="32"/>
        <v>0</v>
      </c>
      <c r="AA93">
        <v>7</v>
      </c>
      <c r="AB93" s="51">
        <f t="shared" si="33"/>
        <v>0</v>
      </c>
      <c r="AC93" s="51">
        <f t="shared" si="34"/>
        <v>0</v>
      </c>
      <c r="AD93" s="51">
        <f t="shared" si="35"/>
        <v>0</v>
      </c>
      <c r="AE93" s="51">
        <f t="shared" si="36"/>
        <v>0</v>
      </c>
      <c r="AF93" s="51">
        <f t="shared" si="37"/>
        <v>0</v>
      </c>
      <c r="AG93" s="51">
        <f t="shared" si="38"/>
        <v>0</v>
      </c>
    </row>
    <row r="94" spans="1:33" x14ac:dyDescent="0.3">
      <c r="A94" t="s">
        <v>97</v>
      </c>
      <c r="B94">
        <v>0.47199999999999998</v>
      </c>
      <c r="C94">
        <v>0.307</v>
      </c>
      <c r="D94">
        <v>0.16500000000000001</v>
      </c>
      <c r="E94">
        <v>0.33050000000000002</v>
      </c>
      <c r="F94">
        <v>0.19969999999999999</v>
      </c>
      <c r="G94">
        <v>0.1308</v>
      </c>
      <c r="L94">
        <v>8</v>
      </c>
      <c r="M94" s="51">
        <f t="shared" si="25"/>
        <v>33.333333333333329</v>
      </c>
      <c r="N94" s="51">
        <f t="shared" si="26"/>
        <v>33.333333333333329</v>
      </c>
      <c r="O94" s="51">
        <f t="shared" si="27"/>
        <v>33.333333333333329</v>
      </c>
      <c r="P94" s="51">
        <f t="shared" si="28"/>
        <v>33.333333333333329</v>
      </c>
      <c r="Q94" s="51">
        <f t="shared" si="29"/>
        <v>33.333333333333329</v>
      </c>
      <c r="R94" s="51">
        <f t="shared" si="30"/>
        <v>33.333333333333329</v>
      </c>
      <c r="T94" s="55">
        <f t="shared" si="31"/>
        <v>0</v>
      </c>
      <c r="U94" s="55">
        <f t="shared" si="31"/>
        <v>0</v>
      </c>
      <c r="V94" s="55">
        <f t="shared" si="31"/>
        <v>0</v>
      </c>
      <c r="X94" s="55">
        <f t="shared" si="32"/>
        <v>0</v>
      </c>
      <c r="Y94" s="55">
        <f t="shared" si="32"/>
        <v>0</v>
      </c>
      <c r="Z94" s="55">
        <f t="shared" si="32"/>
        <v>0</v>
      </c>
      <c r="AA94">
        <v>8</v>
      </c>
      <c r="AB94" s="51">
        <f t="shared" si="33"/>
        <v>0</v>
      </c>
      <c r="AC94" s="51">
        <f t="shared" si="34"/>
        <v>0</v>
      </c>
      <c r="AD94" s="51">
        <f t="shared" si="35"/>
        <v>0</v>
      </c>
      <c r="AE94" s="51">
        <f t="shared" si="36"/>
        <v>0</v>
      </c>
      <c r="AF94" s="51">
        <f t="shared" si="37"/>
        <v>0</v>
      </c>
      <c r="AG94" s="51">
        <f t="shared" si="38"/>
        <v>0</v>
      </c>
    </row>
    <row r="95" spans="1:33" x14ac:dyDescent="0.3">
      <c r="A95" t="s">
        <v>98</v>
      </c>
    </row>
    <row r="96" spans="1:33" x14ac:dyDescent="0.3">
      <c r="B96">
        <v>0.99930000000000008</v>
      </c>
      <c r="C96">
        <v>0.89139999999999997</v>
      </c>
      <c r="D96">
        <v>0.53780000000000006</v>
      </c>
      <c r="E96">
        <v>2.4285000000000001</v>
      </c>
      <c r="I96" s="55">
        <f t="shared" ref="I96:K103" si="39">B96/$E96*100</f>
        <v>41.148857319332919</v>
      </c>
      <c r="J96" s="55">
        <f t="shared" si="39"/>
        <v>36.705785464278357</v>
      </c>
      <c r="K96" s="55">
        <f t="shared" si="39"/>
        <v>22.145357216388721</v>
      </c>
    </row>
    <row r="97" spans="1:33" x14ac:dyDescent="0.3">
      <c r="A97">
        <v>2</v>
      </c>
      <c r="B97">
        <v>0.99</v>
      </c>
      <c r="C97">
        <v>6.9999999999999993E-2</v>
      </c>
      <c r="D97">
        <v>3.9999999999999987E-2</v>
      </c>
      <c r="E97">
        <v>1.1000000000000001</v>
      </c>
      <c r="I97" s="55">
        <f t="shared" si="39"/>
        <v>89.999999999999986</v>
      </c>
      <c r="J97" s="55">
        <f t="shared" si="39"/>
        <v>6.3636363636363633</v>
      </c>
      <c r="K97" s="55">
        <f t="shared" si="39"/>
        <v>3.6363636363636349</v>
      </c>
    </row>
    <row r="98" spans="1:33" x14ac:dyDescent="0.3">
      <c r="A98">
        <v>3</v>
      </c>
      <c r="B98">
        <v>1</v>
      </c>
      <c r="C98">
        <v>0.95</v>
      </c>
      <c r="D98">
        <v>0.4</v>
      </c>
      <c r="E98">
        <v>2.35</v>
      </c>
      <c r="I98" s="55">
        <f t="shared" si="39"/>
        <v>42.553191489361701</v>
      </c>
      <c r="J98" s="55">
        <f t="shared" si="39"/>
        <v>40.425531914893611</v>
      </c>
      <c r="K98" s="55">
        <f t="shared" si="39"/>
        <v>17.021276595744681</v>
      </c>
    </row>
    <row r="99" spans="1:33" x14ac:dyDescent="0.3">
      <c r="A99">
        <v>4</v>
      </c>
      <c r="B99">
        <v>1</v>
      </c>
      <c r="C99">
        <v>0.90000000000000013</v>
      </c>
      <c r="D99">
        <v>0.70000000000000018</v>
      </c>
      <c r="E99">
        <v>2.600000000000001</v>
      </c>
      <c r="I99" s="55">
        <f t="shared" si="39"/>
        <v>38.461538461538446</v>
      </c>
      <c r="J99" s="55">
        <f t="shared" si="39"/>
        <v>34.615384615384606</v>
      </c>
      <c r="K99" s="55">
        <f t="shared" si="39"/>
        <v>26.923076923076923</v>
      </c>
    </row>
    <row r="100" spans="1:33" x14ac:dyDescent="0.3">
      <c r="A100">
        <v>5</v>
      </c>
      <c r="B100">
        <v>0.99999999999999978</v>
      </c>
      <c r="C100">
        <v>0.99999999999999978</v>
      </c>
      <c r="D100">
        <v>0.8999999999999998</v>
      </c>
      <c r="E100">
        <v>2.899999999999999</v>
      </c>
      <c r="I100" s="55">
        <f t="shared" si="39"/>
        <v>34.482758620689658</v>
      </c>
      <c r="J100" s="55">
        <f t="shared" si="39"/>
        <v>34.482758620689658</v>
      </c>
      <c r="K100" s="55">
        <f t="shared" si="39"/>
        <v>31.03448275862069</v>
      </c>
    </row>
    <row r="101" spans="1:33" x14ac:dyDescent="0.3">
      <c r="A101">
        <v>6</v>
      </c>
      <c r="B101">
        <v>0.99999999999999989</v>
      </c>
      <c r="C101">
        <v>0.99999999999999989</v>
      </c>
      <c r="D101">
        <v>0.99999999999999989</v>
      </c>
      <c r="E101">
        <v>3</v>
      </c>
      <c r="I101" s="55">
        <f t="shared" si="39"/>
        <v>33.333333333333329</v>
      </c>
      <c r="J101" s="55">
        <f t="shared" si="39"/>
        <v>33.333333333333329</v>
      </c>
      <c r="K101" s="55">
        <f t="shared" si="39"/>
        <v>33.333333333333329</v>
      </c>
    </row>
    <row r="102" spans="1:33" x14ac:dyDescent="0.3">
      <c r="A102">
        <v>7</v>
      </c>
      <c r="B102">
        <v>1</v>
      </c>
      <c r="C102">
        <v>1</v>
      </c>
      <c r="D102">
        <v>1</v>
      </c>
      <c r="E102">
        <v>3</v>
      </c>
      <c r="I102" s="55">
        <f t="shared" si="39"/>
        <v>33.333333333333329</v>
      </c>
      <c r="J102" s="55">
        <f t="shared" si="39"/>
        <v>33.333333333333329</v>
      </c>
      <c r="K102" s="55">
        <f t="shared" si="39"/>
        <v>33.333333333333329</v>
      </c>
    </row>
    <row r="103" spans="1:33" x14ac:dyDescent="0.3">
      <c r="A103">
        <v>8</v>
      </c>
      <c r="B103">
        <v>1</v>
      </c>
      <c r="C103">
        <v>1</v>
      </c>
      <c r="D103">
        <v>1</v>
      </c>
      <c r="E103">
        <v>3.0000000000000009</v>
      </c>
      <c r="I103" s="55">
        <f t="shared" si="39"/>
        <v>33.333333333333329</v>
      </c>
      <c r="J103" s="55">
        <f t="shared" si="39"/>
        <v>33.333333333333329</v>
      </c>
      <c r="K103" s="55">
        <f t="shared" si="39"/>
        <v>33.333333333333329</v>
      </c>
    </row>
    <row r="104" spans="1:33" x14ac:dyDescent="0.3">
      <c r="A104" t="s">
        <v>99</v>
      </c>
    </row>
    <row r="105" spans="1:33" x14ac:dyDescent="0.3">
      <c r="A105" t="s">
        <v>100</v>
      </c>
      <c r="B105">
        <v>1.4810000000000001</v>
      </c>
      <c r="C105">
        <v>1.244</v>
      </c>
      <c r="D105">
        <v>1.0049999999999999</v>
      </c>
      <c r="E105">
        <v>3.73</v>
      </c>
      <c r="I105" s="55">
        <f t="shared" ref="I105:K112" si="40">B105/$E105*100</f>
        <v>39.705093833780161</v>
      </c>
      <c r="J105" s="55">
        <f t="shared" si="40"/>
        <v>33.351206434316353</v>
      </c>
      <c r="K105" s="55">
        <f t="shared" si="40"/>
        <v>26.943699731903482</v>
      </c>
      <c r="M105" t="s">
        <v>101</v>
      </c>
    </row>
    <row r="106" spans="1:33" x14ac:dyDescent="0.3">
      <c r="A106">
        <v>2</v>
      </c>
      <c r="B106">
        <v>0.90000000000000013</v>
      </c>
      <c r="C106">
        <v>0.70000000000000007</v>
      </c>
      <c r="D106">
        <v>0.4</v>
      </c>
      <c r="E106">
        <v>2</v>
      </c>
      <c r="I106" s="55">
        <f t="shared" si="40"/>
        <v>45.000000000000007</v>
      </c>
      <c r="J106" s="55">
        <f t="shared" si="40"/>
        <v>35</v>
      </c>
      <c r="K106" s="55">
        <f t="shared" si="40"/>
        <v>20</v>
      </c>
      <c r="M106" s="69" t="s">
        <v>82</v>
      </c>
      <c r="N106" s="65"/>
      <c r="O106" s="69" t="s">
        <v>83</v>
      </c>
      <c r="P106" s="65"/>
      <c r="Q106" s="69" t="s">
        <v>84</v>
      </c>
      <c r="R106" s="65"/>
      <c r="AB106" s="69" t="s">
        <v>82</v>
      </c>
      <c r="AC106" s="65"/>
      <c r="AD106" s="69" t="s">
        <v>83</v>
      </c>
      <c r="AE106" s="65"/>
      <c r="AF106" s="69" t="s">
        <v>84</v>
      </c>
      <c r="AG106" s="65"/>
    </row>
    <row r="107" spans="1:33" x14ac:dyDescent="0.3">
      <c r="A107">
        <v>3</v>
      </c>
      <c r="B107">
        <v>1.2</v>
      </c>
      <c r="C107">
        <v>1</v>
      </c>
      <c r="D107">
        <v>0.79999999999999993</v>
      </c>
      <c r="E107">
        <v>3</v>
      </c>
      <c r="I107" s="55">
        <f t="shared" si="40"/>
        <v>40</v>
      </c>
      <c r="J107" s="55">
        <f t="shared" si="40"/>
        <v>33.333333333333329</v>
      </c>
      <c r="K107" s="55">
        <f t="shared" si="40"/>
        <v>26.666666666666668</v>
      </c>
      <c r="M107" s="60" t="s">
        <v>53</v>
      </c>
      <c r="N107" s="60" t="s">
        <v>14</v>
      </c>
      <c r="O107" s="60" t="s">
        <v>53</v>
      </c>
      <c r="P107" s="60" t="s">
        <v>14</v>
      </c>
      <c r="Q107" s="60" t="s">
        <v>53</v>
      </c>
      <c r="R107" s="60" t="s">
        <v>14</v>
      </c>
      <c r="AB107" s="60" t="s">
        <v>87</v>
      </c>
      <c r="AC107" s="60" t="s">
        <v>13</v>
      </c>
      <c r="AD107" s="60" t="s">
        <v>87</v>
      </c>
      <c r="AE107" s="60" t="s">
        <v>13</v>
      </c>
      <c r="AF107" s="60" t="s">
        <v>87</v>
      </c>
      <c r="AG107" s="60" t="s">
        <v>13</v>
      </c>
    </row>
    <row r="108" spans="1:33" x14ac:dyDescent="0.3">
      <c r="A108">
        <v>4</v>
      </c>
      <c r="B108">
        <v>1.8</v>
      </c>
      <c r="C108">
        <v>1.1000000000000001</v>
      </c>
      <c r="D108">
        <v>1.1000000000000001</v>
      </c>
      <c r="E108">
        <v>4</v>
      </c>
      <c r="I108" s="55">
        <f t="shared" si="40"/>
        <v>45</v>
      </c>
      <c r="J108" s="55">
        <f t="shared" si="40"/>
        <v>27.500000000000004</v>
      </c>
      <c r="K108" s="55">
        <f t="shared" si="40"/>
        <v>27.500000000000004</v>
      </c>
      <c r="M108" s="51">
        <f t="shared" ref="M108:M115" si="41">I105</f>
        <v>39.705093833780161</v>
      </c>
      <c r="N108" s="51">
        <f t="shared" ref="N108:N115" si="42">I114</f>
        <v>45.255623721881413</v>
      </c>
      <c r="O108" s="51">
        <f t="shared" ref="O108:O115" si="43">J105</f>
        <v>33.351206434316353</v>
      </c>
      <c r="P108" s="51">
        <f t="shared" ref="P108:P115" si="44">J114</f>
        <v>34.425942156003494</v>
      </c>
      <c r="Q108" s="51">
        <f t="shared" ref="Q108:Q115" si="45">K105</f>
        <v>26.943699731903482</v>
      </c>
      <c r="R108" s="51">
        <f t="shared" ref="R108:R115" si="46">K114</f>
        <v>20.318434122115097</v>
      </c>
      <c r="T108" s="55">
        <f t="shared" ref="T108:V115" si="47">I114-I105</f>
        <v>5.5505298881012521</v>
      </c>
      <c r="U108" s="55">
        <f t="shared" si="47"/>
        <v>1.0747357216871407</v>
      </c>
      <c r="V108" s="55">
        <f t="shared" si="47"/>
        <v>-6.6252656097883857</v>
      </c>
      <c r="X108" s="55">
        <f t="shared" ref="X108:Z115" si="48">T108/I105*100</f>
        <v>13.979389927493363</v>
      </c>
      <c r="Y108" s="55">
        <f t="shared" si="48"/>
        <v>3.2224792941262339</v>
      </c>
      <c r="Z108" s="55">
        <f t="shared" si="48"/>
        <v>-24.589294253244461</v>
      </c>
      <c r="AB108" s="51">
        <f t="shared" ref="AB108:AB115" si="49">T108</f>
        <v>5.5505298881012521</v>
      </c>
      <c r="AC108" s="51">
        <f t="shared" ref="AC108:AC115" si="50">X108</f>
        <v>13.979389927493363</v>
      </c>
      <c r="AD108" s="51">
        <f t="shared" ref="AD108:AD115" si="51">U108</f>
        <v>1.0747357216871407</v>
      </c>
      <c r="AE108" s="51">
        <f t="shared" ref="AE108:AE115" si="52">Y108</f>
        <v>3.2224792941262339</v>
      </c>
      <c r="AF108" s="51">
        <f t="shared" ref="AF108:AF115" si="53">V108</f>
        <v>-6.6252656097883857</v>
      </c>
      <c r="AG108" s="51">
        <f t="shared" ref="AG108:AG115" si="54">Z108</f>
        <v>-24.589294253244461</v>
      </c>
    </row>
    <row r="109" spans="1:33" x14ac:dyDescent="0.3">
      <c r="A109">
        <v>5</v>
      </c>
      <c r="B109">
        <v>1.9</v>
      </c>
      <c r="C109">
        <v>1.9</v>
      </c>
      <c r="D109">
        <v>1.2</v>
      </c>
      <c r="E109">
        <v>5</v>
      </c>
      <c r="I109" s="55">
        <f t="shared" si="40"/>
        <v>38</v>
      </c>
      <c r="J109" s="55">
        <f t="shared" si="40"/>
        <v>38</v>
      </c>
      <c r="K109" s="55">
        <f t="shared" si="40"/>
        <v>24</v>
      </c>
      <c r="L109">
        <v>2</v>
      </c>
      <c r="M109" s="51">
        <f t="shared" si="41"/>
        <v>45.000000000000007</v>
      </c>
      <c r="N109" s="51">
        <f t="shared" si="42"/>
        <v>92.142857142857153</v>
      </c>
      <c r="O109" s="51">
        <f t="shared" si="43"/>
        <v>35</v>
      </c>
      <c r="P109" s="51">
        <f t="shared" si="44"/>
        <v>5</v>
      </c>
      <c r="Q109" s="51">
        <f t="shared" si="45"/>
        <v>20</v>
      </c>
      <c r="R109" s="51">
        <f t="shared" si="46"/>
        <v>2.8571428571428563</v>
      </c>
      <c r="T109" s="55">
        <f t="shared" si="47"/>
        <v>47.142857142857146</v>
      </c>
      <c r="U109" s="55">
        <f t="shared" si="47"/>
        <v>-30</v>
      </c>
      <c r="V109" s="55">
        <f t="shared" si="47"/>
        <v>-17.142857142857142</v>
      </c>
      <c r="X109" s="55">
        <f t="shared" si="48"/>
        <v>104.76190476190474</v>
      </c>
      <c r="Y109" s="55">
        <f t="shared" si="48"/>
        <v>-85.714285714285708</v>
      </c>
      <c r="Z109" s="55">
        <f t="shared" si="48"/>
        <v>-85.714285714285708</v>
      </c>
      <c r="AA109">
        <v>2</v>
      </c>
      <c r="AB109" s="51">
        <f t="shared" si="49"/>
        <v>47.142857142857146</v>
      </c>
      <c r="AC109" s="51">
        <f t="shared" si="50"/>
        <v>104.76190476190474</v>
      </c>
      <c r="AD109" s="51">
        <f t="shared" si="51"/>
        <v>-30</v>
      </c>
      <c r="AE109" s="51">
        <f t="shared" si="52"/>
        <v>-85.714285714285708</v>
      </c>
      <c r="AF109" s="51">
        <f t="shared" si="53"/>
        <v>-17.142857142857142</v>
      </c>
      <c r="AG109" s="51">
        <f t="shared" si="54"/>
        <v>-85.714285714285708</v>
      </c>
    </row>
    <row r="110" spans="1:33" x14ac:dyDescent="0.3">
      <c r="A110">
        <v>6</v>
      </c>
      <c r="B110">
        <v>2.2000000000000002</v>
      </c>
      <c r="C110">
        <v>2.2999999999999998</v>
      </c>
      <c r="D110">
        <v>1.5</v>
      </c>
      <c r="E110">
        <v>6</v>
      </c>
      <c r="I110" s="55">
        <f t="shared" si="40"/>
        <v>36.666666666666671</v>
      </c>
      <c r="J110" s="55">
        <f t="shared" si="40"/>
        <v>38.333333333333329</v>
      </c>
      <c r="K110" s="55">
        <f t="shared" si="40"/>
        <v>25</v>
      </c>
      <c r="L110">
        <v>3</v>
      </c>
      <c r="M110" s="51">
        <f t="shared" si="41"/>
        <v>40</v>
      </c>
      <c r="N110" s="51">
        <f t="shared" si="42"/>
        <v>48.148148148148145</v>
      </c>
      <c r="O110" s="51">
        <f t="shared" si="43"/>
        <v>33.333333333333329</v>
      </c>
      <c r="P110" s="51">
        <f t="shared" si="44"/>
        <v>37.037037037037038</v>
      </c>
      <c r="Q110" s="51">
        <f t="shared" si="45"/>
        <v>26.666666666666668</v>
      </c>
      <c r="R110" s="51">
        <f t="shared" si="46"/>
        <v>14.814814814814813</v>
      </c>
      <c r="T110" s="55">
        <f t="shared" si="47"/>
        <v>8.1481481481481453</v>
      </c>
      <c r="U110" s="55">
        <f t="shared" si="47"/>
        <v>3.7037037037037095</v>
      </c>
      <c r="V110" s="55">
        <f t="shared" si="47"/>
        <v>-11.851851851851855</v>
      </c>
      <c r="X110" s="55">
        <f t="shared" si="48"/>
        <v>20.370370370370363</v>
      </c>
      <c r="Y110" s="55">
        <f t="shared" si="48"/>
        <v>11.11111111111113</v>
      </c>
      <c r="Z110" s="55">
        <f t="shared" si="48"/>
        <v>-44.44444444444445</v>
      </c>
      <c r="AA110">
        <v>3</v>
      </c>
      <c r="AB110" s="51">
        <f t="shared" si="49"/>
        <v>8.1481481481481453</v>
      </c>
      <c r="AC110" s="51">
        <f t="shared" si="50"/>
        <v>20.370370370370363</v>
      </c>
      <c r="AD110" s="51">
        <f t="shared" si="51"/>
        <v>3.7037037037037095</v>
      </c>
      <c r="AE110" s="51">
        <f t="shared" si="52"/>
        <v>11.11111111111113</v>
      </c>
      <c r="AF110" s="51">
        <f t="shared" si="53"/>
        <v>-11.851851851851855</v>
      </c>
      <c r="AG110" s="51">
        <f t="shared" si="54"/>
        <v>-44.44444444444445</v>
      </c>
    </row>
    <row r="111" spans="1:33" x14ac:dyDescent="0.3">
      <c r="A111">
        <v>7</v>
      </c>
      <c r="B111">
        <v>2.4</v>
      </c>
      <c r="C111">
        <v>2.2999999999999998</v>
      </c>
      <c r="D111">
        <v>2.2999999999999998</v>
      </c>
      <c r="E111">
        <v>7</v>
      </c>
      <c r="I111" s="55">
        <f t="shared" si="40"/>
        <v>34.285714285714285</v>
      </c>
      <c r="J111" s="55">
        <f t="shared" si="40"/>
        <v>32.857142857142854</v>
      </c>
      <c r="K111" s="55">
        <f t="shared" si="40"/>
        <v>32.857142857142854</v>
      </c>
      <c r="L111">
        <v>4</v>
      </c>
      <c r="M111" s="51">
        <f t="shared" si="41"/>
        <v>45</v>
      </c>
      <c r="N111" s="51">
        <f t="shared" si="42"/>
        <v>48.648648648648646</v>
      </c>
      <c r="O111" s="51">
        <f t="shared" si="43"/>
        <v>27.500000000000004</v>
      </c>
      <c r="P111" s="51">
        <f t="shared" si="44"/>
        <v>28.378378378378379</v>
      </c>
      <c r="Q111" s="51">
        <f t="shared" si="45"/>
        <v>27.500000000000004</v>
      </c>
      <c r="R111" s="51">
        <f t="shared" si="46"/>
        <v>22.972972972972972</v>
      </c>
      <c r="T111" s="55">
        <f t="shared" si="47"/>
        <v>3.6486486486486456</v>
      </c>
      <c r="U111" s="55">
        <f t="shared" si="47"/>
        <v>0.8783783783783754</v>
      </c>
      <c r="V111" s="55">
        <f t="shared" si="47"/>
        <v>-4.5270270270270316</v>
      </c>
      <c r="X111" s="55">
        <f t="shared" si="48"/>
        <v>8.1081081081081017</v>
      </c>
      <c r="Y111" s="55">
        <f t="shared" si="48"/>
        <v>3.194103194103183</v>
      </c>
      <c r="Z111" s="55">
        <f t="shared" si="48"/>
        <v>-16.461916461916477</v>
      </c>
      <c r="AA111">
        <v>4</v>
      </c>
      <c r="AB111" s="51">
        <f t="shared" si="49"/>
        <v>3.6486486486486456</v>
      </c>
      <c r="AC111" s="51">
        <f t="shared" si="50"/>
        <v>8.1081081081081017</v>
      </c>
      <c r="AD111" s="51">
        <f t="shared" si="51"/>
        <v>0.8783783783783754</v>
      </c>
      <c r="AE111" s="51">
        <f t="shared" si="52"/>
        <v>3.194103194103183</v>
      </c>
      <c r="AF111" s="51">
        <f t="shared" si="53"/>
        <v>-4.5270270270270316</v>
      </c>
      <c r="AG111" s="51">
        <f t="shared" si="54"/>
        <v>-16.461916461916477</v>
      </c>
    </row>
    <row r="112" spans="1:33" x14ac:dyDescent="0.3">
      <c r="A112">
        <v>8</v>
      </c>
      <c r="B112">
        <v>2.8</v>
      </c>
      <c r="C112">
        <v>2.600000000000001</v>
      </c>
      <c r="D112">
        <v>2.600000000000001</v>
      </c>
      <c r="E112">
        <v>8</v>
      </c>
      <c r="I112" s="55">
        <f t="shared" si="40"/>
        <v>35</v>
      </c>
      <c r="J112" s="55">
        <f t="shared" si="40"/>
        <v>32.500000000000014</v>
      </c>
      <c r="K112" s="55">
        <f t="shared" si="40"/>
        <v>32.500000000000014</v>
      </c>
      <c r="L112">
        <v>5</v>
      </c>
      <c r="M112" s="51">
        <f t="shared" si="41"/>
        <v>38</v>
      </c>
      <c r="N112" s="51">
        <f t="shared" si="42"/>
        <v>38.936170212765965</v>
      </c>
      <c r="O112" s="51">
        <f t="shared" si="43"/>
        <v>38</v>
      </c>
      <c r="P112" s="51">
        <f t="shared" si="44"/>
        <v>38.936170212765965</v>
      </c>
      <c r="Q112" s="51">
        <f t="shared" si="45"/>
        <v>24</v>
      </c>
      <c r="R112" s="51">
        <f t="shared" si="46"/>
        <v>22.12765957446809</v>
      </c>
      <c r="T112" s="55">
        <f t="shared" si="47"/>
        <v>0.93617021276596546</v>
      </c>
      <c r="U112" s="55">
        <f t="shared" si="47"/>
        <v>0.93617021276596546</v>
      </c>
      <c r="V112" s="55">
        <f t="shared" si="47"/>
        <v>-1.8723404255319096</v>
      </c>
      <c r="X112" s="55">
        <f t="shared" si="48"/>
        <v>2.4636058230683302</v>
      </c>
      <c r="Y112" s="55">
        <f t="shared" si="48"/>
        <v>2.4636058230683302</v>
      </c>
      <c r="Z112" s="55">
        <f t="shared" si="48"/>
        <v>-7.80141843971629</v>
      </c>
      <c r="AA112">
        <v>5</v>
      </c>
      <c r="AB112" s="51">
        <f t="shared" si="49"/>
        <v>0.93617021276596546</v>
      </c>
      <c r="AC112" s="51">
        <f t="shared" si="50"/>
        <v>2.4636058230683302</v>
      </c>
      <c r="AD112" s="51">
        <f t="shared" si="51"/>
        <v>0.93617021276596546</v>
      </c>
      <c r="AE112" s="51">
        <f t="shared" si="52"/>
        <v>2.4636058230683302</v>
      </c>
      <c r="AF112" s="51">
        <f t="shared" si="53"/>
        <v>-1.8723404255319096</v>
      </c>
      <c r="AG112" s="51">
        <f t="shared" si="54"/>
        <v>-7.80141843971629</v>
      </c>
    </row>
    <row r="113" spans="1:33" x14ac:dyDescent="0.3">
      <c r="A113" t="s">
        <v>99</v>
      </c>
      <c r="L113">
        <v>6</v>
      </c>
      <c r="M113" s="51">
        <f t="shared" si="41"/>
        <v>36.666666666666671</v>
      </c>
      <c r="N113" s="51">
        <f t="shared" si="42"/>
        <v>35.789473684210527</v>
      </c>
      <c r="O113" s="51">
        <f t="shared" si="43"/>
        <v>38.333333333333329</v>
      </c>
      <c r="P113" s="51">
        <f t="shared" si="44"/>
        <v>38.771929824561404</v>
      </c>
      <c r="Q113" s="51">
        <f t="shared" si="45"/>
        <v>25</v>
      </c>
      <c r="R113" s="51">
        <f t="shared" si="46"/>
        <v>25.438596491228065</v>
      </c>
      <c r="T113" s="55">
        <f t="shared" si="47"/>
        <v>-0.87719298245614397</v>
      </c>
      <c r="U113" s="55">
        <f t="shared" si="47"/>
        <v>0.43859649122807554</v>
      </c>
      <c r="V113" s="55">
        <f t="shared" si="47"/>
        <v>0.43859649122806488</v>
      </c>
      <c r="X113" s="55">
        <f t="shared" si="48"/>
        <v>-2.3923444976076653</v>
      </c>
      <c r="Y113" s="55">
        <f t="shared" si="48"/>
        <v>1.1441647597254145</v>
      </c>
      <c r="Z113" s="55">
        <f t="shared" si="48"/>
        <v>1.7543859649122595</v>
      </c>
      <c r="AA113">
        <v>6</v>
      </c>
      <c r="AB113" s="51">
        <f t="shared" si="49"/>
        <v>-0.87719298245614397</v>
      </c>
      <c r="AC113" s="51">
        <f t="shared" si="50"/>
        <v>-2.3923444976076653</v>
      </c>
      <c r="AD113" s="51">
        <f t="shared" si="51"/>
        <v>0.43859649122807554</v>
      </c>
      <c r="AE113" s="51">
        <f t="shared" si="52"/>
        <v>1.1441647597254145</v>
      </c>
      <c r="AF113" s="51">
        <f t="shared" si="53"/>
        <v>0.43859649122806488</v>
      </c>
      <c r="AG113" s="51">
        <f t="shared" si="54"/>
        <v>1.7543859649122595</v>
      </c>
    </row>
    <row r="114" spans="1:33" x14ac:dyDescent="0.3">
      <c r="A114" t="s">
        <v>100</v>
      </c>
      <c r="B114">
        <v>1.549100000000001</v>
      </c>
      <c r="C114">
        <v>1.1783999999999999</v>
      </c>
      <c r="D114">
        <v>0.69550000000000001</v>
      </c>
      <c r="E114">
        <v>3.4230000000000009</v>
      </c>
      <c r="I114" s="55">
        <f t="shared" ref="I114:K121" si="55">B114/$E114*100</f>
        <v>45.255623721881413</v>
      </c>
      <c r="J114" s="55">
        <f t="shared" si="55"/>
        <v>34.425942156003494</v>
      </c>
      <c r="K114" s="55">
        <f t="shared" si="55"/>
        <v>20.318434122115097</v>
      </c>
      <c r="L114">
        <v>7</v>
      </c>
      <c r="M114" s="51">
        <f t="shared" si="41"/>
        <v>34.285714285714285</v>
      </c>
      <c r="N114" s="51">
        <f t="shared" si="42"/>
        <v>34.202898550724633</v>
      </c>
      <c r="O114" s="51">
        <f t="shared" si="43"/>
        <v>32.857142857142854</v>
      </c>
      <c r="P114" s="51">
        <f t="shared" si="44"/>
        <v>32.89855072463768</v>
      </c>
      <c r="Q114" s="51">
        <f t="shared" si="45"/>
        <v>32.857142857142854</v>
      </c>
      <c r="R114" s="51">
        <f t="shared" si="46"/>
        <v>32.89855072463768</v>
      </c>
      <c r="T114" s="55">
        <f t="shared" si="47"/>
        <v>-8.2815734989651446E-2</v>
      </c>
      <c r="U114" s="55">
        <f t="shared" si="47"/>
        <v>4.1407867494825723E-2</v>
      </c>
      <c r="V114" s="55">
        <f t="shared" si="47"/>
        <v>4.1407867494825723E-2</v>
      </c>
      <c r="X114" s="55">
        <f t="shared" si="48"/>
        <v>-0.24154589371981672</v>
      </c>
      <c r="Y114" s="55">
        <f t="shared" si="48"/>
        <v>0.12602394454946961</v>
      </c>
      <c r="Z114" s="55">
        <f t="shared" si="48"/>
        <v>0.12602394454946961</v>
      </c>
      <c r="AA114">
        <v>7</v>
      </c>
      <c r="AB114" s="51">
        <f t="shared" si="49"/>
        <v>-8.2815734989651446E-2</v>
      </c>
      <c r="AC114" s="51">
        <f t="shared" si="50"/>
        <v>-0.24154589371981672</v>
      </c>
      <c r="AD114" s="51">
        <f t="shared" si="51"/>
        <v>4.1407867494825723E-2</v>
      </c>
      <c r="AE114" s="51">
        <f t="shared" si="52"/>
        <v>0.12602394454946961</v>
      </c>
      <c r="AF114" s="51">
        <f t="shared" si="53"/>
        <v>4.1407867494825723E-2</v>
      </c>
      <c r="AG114" s="51">
        <f t="shared" si="54"/>
        <v>0.12602394454946961</v>
      </c>
    </row>
    <row r="115" spans="1:33" x14ac:dyDescent="0.3">
      <c r="A115">
        <v>2</v>
      </c>
      <c r="B115">
        <v>1.29</v>
      </c>
      <c r="C115">
        <v>6.9999999999999993E-2</v>
      </c>
      <c r="D115">
        <v>3.9999999999999987E-2</v>
      </c>
      <c r="E115">
        <v>1.4</v>
      </c>
      <c r="I115" s="55">
        <f t="shared" si="55"/>
        <v>92.142857142857153</v>
      </c>
      <c r="J115" s="55">
        <f t="shared" si="55"/>
        <v>5</v>
      </c>
      <c r="K115" s="55">
        <f t="shared" si="55"/>
        <v>2.8571428571428563</v>
      </c>
      <c r="L115">
        <v>8</v>
      </c>
      <c r="M115" s="51">
        <f t="shared" si="41"/>
        <v>35</v>
      </c>
      <c r="N115" s="51">
        <f t="shared" si="42"/>
        <v>35.696202531645561</v>
      </c>
      <c r="O115" s="51">
        <f t="shared" si="43"/>
        <v>32.500000000000014</v>
      </c>
      <c r="P115" s="51">
        <f t="shared" si="44"/>
        <v>32.151898734177209</v>
      </c>
      <c r="Q115" s="51">
        <f t="shared" si="45"/>
        <v>32.500000000000014</v>
      </c>
      <c r="R115" s="51">
        <f t="shared" si="46"/>
        <v>32.151898734177209</v>
      </c>
      <c r="T115" s="55">
        <f t="shared" si="47"/>
        <v>0.6962025316455609</v>
      </c>
      <c r="U115" s="55">
        <f t="shared" si="47"/>
        <v>-0.34810126582280532</v>
      </c>
      <c r="V115" s="55">
        <f t="shared" si="47"/>
        <v>-0.34810126582280532</v>
      </c>
      <c r="X115" s="55">
        <f t="shared" si="48"/>
        <v>1.9891500904158883</v>
      </c>
      <c r="Y115" s="55">
        <f t="shared" si="48"/>
        <v>-1.0710808179163236</v>
      </c>
      <c r="Z115" s="55">
        <f t="shared" si="48"/>
        <v>-1.0710808179163236</v>
      </c>
      <c r="AA115">
        <v>8</v>
      </c>
      <c r="AB115" s="51">
        <f t="shared" si="49"/>
        <v>0.6962025316455609</v>
      </c>
      <c r="AC115" s="51">
        <f t="shared" si="50"/>
        <v>1.9891500904158883</v>
      </c>
      <c r="AD115" s="51">
        <f t="shared" si="51"/>
        <v>-0.34810126582280532</v>
      </c>
      <c r="AE115" s="51">
        <f t="shared" si="52"/>
        <v>-1.0710808179163236</v>
      </c>
      <c r="AF115" s="51">
        <f t="shared" si="53"/>
        <v>-0.34810126582280532</v>
      </c>
      <c r="AG115" s="51">
        <f t="shared" si="54"/>
        <v>-1.0710808179163236</v>
      </c>
    </row>
    <row r="116" spans="1:33" x14ac:dyDescent="0.3">
      <c r="A116">
        <v>3</v>
      </c>
      <c r="B116">
        <v>1.3</v>
      </c>
      <c r="C116">
        <v>1</v>
      </c>
      <c r="D116">
        <v>0.4</v>
      </c>
      <c r="E116">
        <v>2.7</v>
      </c>
      <c r="I116" s="55">
        <f t="shared" si="55"/>
        <v>48.148148148148145</v>
      </c>
      <c r="J116" s="55">
        <f t="shared" si="55"/>
        <v>37.037037037037038</v>
      </c>
      <c r="K116" s="55">
        <f t="shared" si="55"/>
        <v>14.814814814814813</v>
      </c>
    </row>
    <row r="117" spans="1:33" x14ac:dyDescent="0.3">
      <c r="A117">
        <v>4</v>
      </c>
      <c r="B117">
        <v>1.8</v>
      </c>
      <c r="C117">
        <v>1.05</v>
      </c>
      <c r="D117">
        <v>0.85</v>
      </c>
      <c r="E117">
        <v>3.7</v>
      </c>
      <c r="I117" s="55">
        <f t="shared" si="55"/>
        <v>48.648648648648646</v>
      </c>
      <c r="J117" s="55">
        <f t="shared" si="55"/>
        <v>28.378378378378379</v>
      </c>
      <c r="K117" s="55">
        <f t="shared" si="55"/>
        <v>22.972972972972972</v>
      </c>
    </row>
    <row r="118" spans="1:33" x14ac:dyDescent="0.3">
      <c r="A118">
        <v>5</v>
      </c>
      <c r="B118">
        <v>1.83</v>
      </c>
      <c r="C118">
        <v>1.83</v>
      </c>
      <c r="D118">
        <v>1.04</v>
      </c>
      <c r="E118">
        <v>4.6999999999999993</v>
      </c>
      <c r="I118" s="55">
        <f t="shared" si="55"/>
        <v>38.936170212765965</v>
      </c>
      <c r="J118" s="55">
        <f t="shared" si="55"/>
        <v>38.936170212765965</v>
      </c>
      <c r="K118" s="55">
        <f t="shared" si="55"/>
        <v>22.12765957446809</v>
      </c>
    </row>
    <row r="119" spans="1:33" x14ac:dyDescent="0.3">
      <c r="A119">
        <v>6</v>
      </c>
      <c r="B119">
        <v>2.04</v>
      </c>
      <c r="C119">
        <v>2.21</v>
      </c>
      <c r="D119">
        <v>1.45</v>
      </c>
      <c r="E119">
        <v>5.7</v>
      </c>
      <c r="I119" s="55">
        <f t="shared" si="55"/>
        <v>35.789473684210527</v>
      </c>
      <c r="J119" s="55">
        <f t="shared" si="55"/>
        <v>38.771929824561404</v>
      </c>
      <c r="K119" s="55">
        <f t="shared" si="55"/>
        <v>25.438596491228065</v>
      </c>
    </row>
    <row r="120" spans="1:33" x14ac:dyDescent="0.3">
      <c r="A120">
        <v>7</v>
      </c>
      <c r="B120">
        <v>2.36</v>
      </c>
      <c r="C120">
        <v>2.27</v>
      </c>
      <c r="D120">
        <v>2.27</v>
      </c>
      <c r="E120">
        <v>6.9</v>
      </c>
      <c r="I120" s="55">
        <f t="shared" si="55"/>
        <v>34.202898550724633</v>
      </c>
      <c r="J120" s="55">
        <f t="shared" si="55"/>
        <v>32.89855072463768</v>
      </c>
      <c r="K120" s="55">
        <f t="shared" si="55"/>
        <v>32.89855072463768</v>
      </c>
    </row>
    <row r="121" spans="1:33" x14ac:dyDescent="0.3">
      <c r="A121">
        <v>8</v>
      </c>
      <c r="B121">
        <v>2.82</v>
      </c>
      <c r="C121">
        <v>2.54</v>
      </c>
      <c r="D121">
        <v>2.54</v>
      </c>
      <c r="E121">
        <v>7.9000000000000021</v>
      </c>
      <c r="I121" s="55">
        <f t="shared" si="55"/>
        <v>35.696202531645561</v>
      </c>
      <c r="J121" s="55">
        <f t="shared" si="55"/>
        <v>32.151898734177209</v>
      </c>
      <c r="K121" s="55">
        <f t="shared" si="55"/>
        <v>32.151898734177209</v>
      </c>
    </row>
    <row r="122" spans="1:33" x14ac:dyDescent="0.3">
      <c r="A122" t="s">
        <v>102</v>
      </c>
    </row>
    <row r="123" spans="1:33" x14ac:dyDescent="0.3">
      <c r="A123">
        <v>1</v>
      </c>
      <c r="B123">
        <v>2</v>
      </c>
      <c r="C123">
        <v>3</v>
      </c>
      <c r="D123">
        <v>4</v>
      </c>
      <c r="E123">
        <v>5</v>
      </c>
      <c r="F123">
        <v>6</v>
      </c>
      <c r="G123">
        <v>7</v>
      </c>
      <c r="H123">
        <v>8</v>
      </c>
    </row>
    <row r="124" spans="1:33" x14ac:dyDescent="0.3">
      <c r="A124">
        <v>0</v>
      </c>
      <c r="B124">
        <v>0.24099999999999999</v>
      </c>
      <c r="C124">
        <v>0.75900000000000012</v>
      </c>
    </row>
    <row r="125" spans="1:33" x14ac:dyDescent="0.3">
      <c r="A125">
        <v>0</v>
      </c>
      <c r="B125">
        <v>7.0000000000000007E-2</v>
      </c>
      <c r="C125">
        <v>0.57000000000000006</v>
      </c>
      <c r="D125">
        <v>0.15</v>
      </c>
      <c r="E125">
        <v>7.999999999999996E-2</v>
      </c>
      <c r="F125">
        <v>6.0000000000000053E-2</v>
      </c>
      <c r="G125">
        <v>3.9999999999999918E-2</v>
      </c>
      <c r="H125">
        <v>3.000000000000003E-2</v>
      </c>
    </row>
    <row r="126" spans="1:33" x14ac:dyDescent="0.3">
      <c r="A126" t="s">
        <v>102</v>
      </c>
    </row>
    <row r="127" spans="1:33" x14ac:dyDescent="0.3">
      <c r="A127">
        <v>1</v>
      </c>
      <c r="B127">
        <v>2</v>
      </c>
      <c r="C127">
        <v>3</v>
      </c>
      <c r="D127">
        <v>4</v>
      </c>
      <c r="E127">
        <v>5</v>
      </c>
      <c r="F127">
        <v>6</v>
      </c>
      <c r="G127">
        <v>7</v>
      </c>
      <c r="H127">
        <v>8</v>
      </c>
    </row>
    <row r="128" spans="1:33" x14ac:dyDescent="0.3">
      <c r="A128">
        <v>6.3E-2</v>
      </c>
      <c r="B128">
        <v>0.44550000000000012</v>
      </c>
      <c r="C128">
        <v>0.49149999999999988</v>
      </c>
    </row>
    <row r="129" spans="1:33" x14ac:dyDescent="0.3">
      <c r="A129">
        <v>4.2000000000000003E-2</v>
      </c>
      <c r="B129">
        <v>0.19900000000000001</v>
      </c>
      <c r="C129">
        <v>0.44400000000000012</v>
      </c>
      <c r="D129">
        <v>0.129</v>
      </c>
      <c r="E129">
        <v>7.3999999999999982E-2</v>
      </c>
      <c r="F129">
        <v>4.6000000000000027E-2</v>
      </c>
      <c r="G129">
        <v>3.8999999999999937E-2</v>
      </c>
      <c r="H129">
        <v>2.7000000000000031E-2</v>
      </c>
    </row>
    <row r="130" spans="1:33" x14ac:dyDescent="0.3">
      <c r="A130" t="s">
        <v>103</v>
      </c>
    </row>
    <row r="131" spans="1:33" x14ac:dyDescent="0.3">
      <c r="B131">
        <v>1.488</v>
      </c>
      <c r="C131">
        <v>1.3283333333333329</v>
      </c>
      <c r="D131">
        <v>1.161</v>
      </c>
      <c r="E131">
        <f>B131+C131+D131</f>
        <v>3.9773333333333327</v>
      </c>
      <c r="I131" s="55">
        <f t="shared" ref="I131:K138" si="56">B131/$E131*100</f>
        <v>37.412001340931958</v>
      </c>
      <c r="J131" s="55">
        <f t="shared" si="56"/>
        <v>33.397586322494128</v>
      </c>
      <c r="K131" s="55">
        <f t="shared" si="56"/>
        <v>29.190412336573925</v>
      </c>
    </row>
    <row r="132" spans="1:33" x14ac:dyDescent="0.3">
      <c r="A132">
        <v>2</v>
      </c>
      <c r="B132">
        <v>0.99999999999999989</v>
      </c>
      <c r="C132">
        <v>1</v>
      </c>
      <c r="D132">
        <v>1</v>
      </c>
      <c r="E132">
        <v>3</v>
      </c>
      <c r="I132" s="55">
        <f t="shared" si="56"/>
        <v>33.333333333333329</v>
      </c>
      <c r="J132" s="55">
        <f t="shared" si="56"/>
        <v>33.333333333333329</v>
      </c>
      <c r="K132" s="55">
        <f t="shared" si="56"/>
        <v>33.333333333333329</v>
      </c>
      <c r="M132" t="s">
        <v>104</v>
      </c>
    </row>
    <row r="133" spans="1:33" x14ac:dyDescent="0.3">
      <c r="A133">
        <v>3</v>
      </c>
      <c r="B133">
        <v>1.2</v>
      </c>
      <c r="C133">
        <v>1.1111111111111109</v>
      </c>
      <c r="D133">
        <v>1</v>
      </c>
      <c r="E133">
        <v>3.3111111111111109</v>
      </c>
      <c r="I133" s="55">
        <f t="shared" si="56"/>
        <v>36.241610738255034</v>
      </c>
      <c r="J133" s="55">
        <f t="shared" si="56"/>
        <v>33.557046979865767</v>
      </c>
      <c r="K133" s="55">
        <f t="shared" si="56"/>
        <v>30.201342281879196</v>
      </c>
      <c r="M133" s="69" t="s">
        <v>82</v>
      </c>
      <c r="N133" s="65"/>
      <c r="O133" s="69" t="s">
        <v>83</v>
      </c>
      <c r="P133" s="65"/>
      <c r="Q133" s="69" t="s">
        <v>84</v>
      </c>
      <c r="R133" s="65"/>
      <c r="AB133" s="69" t="s">
        <v>82</v>
      </c>
      <c r="AC133" s="65"/>
      <c r="AD133" s="69" t="s">
        <v>83</v>
      </c>
      <c r="AE133" s="65"/>
      <c r="AF133" s="69" t="s">
        <v>84</v>
      </c>
      <c r="AG133" s="65"/>
    </row>
    <row r="134" spans="1:33" x14ac:dyDescent="0.3">
      <c r="A134">
        <v>4</v>
      </c>
      <c r="B134">
        <v>1.8</v>
      </c>
      <c r="C134">
        <v>1.1000000000000001</v>
      </c>
      <c r="D134">
        <v>1.1000000000000001</v>
      </c>
      <c r="E134">
        <v>4</v>
      </c>
      <c r="I134" s="55">
        <f t="shared" si="56"/>
        <v>45</v>
      </c>
      <c r="J134" s="55">
        <f t="shared" si="56"/>
        <v>27.500000000000004</v>
      </c>
      <c r="K134" s="55">
        <f t="shared" si="56"/>
        <v>27.500000000000004</v>
      </c>
      <c r="M134" s="60" t="s">
        <v>87</v>
      </c>
      <c r="N134" s="60" t="s">
        <v>13</v>
      </c>
      <c r="O134" s="60" t="s">
        <v>87</v>
      </c>
      <c r="P134" s="60" t="s">
        <v>13</v>
      </c>
      <c r="Q134" s="60" t="s">
        <v>87</v>
      </c>
      <c r="R134" s="60" t="s">
        <v>13</v>
      </c>
      <c r="AB134" s="60" t="s">
        <v>87</v>
      </c>
      <c r="AC134" s="60" t="s">
        <v>13</v>
      </c>
      <c r="AD134" s="60" t="s">
        <v>87</v>
      </c>
      <c r="AE134" s="60" t="s">
        <v>13</v>
      </c>
      <c r="AF134" s="60" t="s">
        <v>87</v>
      </c>
      <c r="AG134" s="60" t="s">
        <v>13</v>
      </c>
    </row>
    <row r="135" spans="1:33" x14ac:dyDescent="0.3">
      <c r="A135">
        <v>5</v>
      </c>
      <c r="B135">
        <v>1.9</v>
      </c>
      <c r="C135">
        <v>1.9</v>
      </c>
      <c r="D135">
        <v>1.2</v>
      </c>
      <c r="E135">
        <v>5</v>
      </c>
      <c r="I135" s="55">
        <f t="shared" si="56"/>
        <v>38</v>
      </c>
      <c r="J135" s="55">
        <f t="shared" si="56"/>
        <v>38</v>
      </c>
      <c r="K135" s="55">
        <f t="shared" si="56"/>
        <v>24</v>
      </c>
      <c r="M135" s="51">
        <f t="shared" ref="M135:M142" si="57">I131</f>
        <v>37.412001340931958</v>
      </c>
      <c r="N135" s="51">
        <f t="shared" ref="N135:N142" si="58">I140</f>
        <v>38.657530535305533</v>
      </c>
      <c r="O135" s="51">
        <f t="shared" ref="O135:O142" si="59">J131</f>
        <v>33.397586322494128</v>
      </c>
      <c r="P135" s="51">
        <f t="shared" ref="P135:P142" si="60">J140</f>
        <v>32.197730093911716</v>
      </c>
      <c r="Q135" s="51">
        <f t="shared" ref="Q135:Q142" si="61">K131</f>
        <v>29.190412336573925</v>
      </c>
      <c r="R135" s="51">
        <f t="shared" ref="R135:R142" si="62">K140</f>
        <v>29.144739370782752</v>
      </c>
      <c r="T135" s="55">
        <f t="shared" ref="T135:V142" si="63">I140-I131</f>
        <v>1.2455291943735745</v>
      </c>
      <c r="U135" s="55">
        <f t="shared" si="63"/>
        <v>-1.1998562285824121</v>
      </c>
      <c r="V135" s="55">
        <f t="shared" si="63"/>
        <v>-4.567296579117297E-2</v>
      </c>
      <c r="X135" s="55">
        <f t="shared" ref="X135:Z142" si="64">T135/I131*100</f>
        <v>3.3292236441006913</v>
      </c>
      <c r="Y135" s="55">
        <f t="shared" si="64"/>
        <v>-3.5926435431481414</v>
      </c>
      <c r="Z135" s="55">
        <f t="shared" si="64"/>
        <v>-0.15646564106238178</v>
      </c>
      <c r="AB135" s="51">
        <f t="shared" ref="AB135:AB142" si="65">T135</f>
        <v>1.2455291943735745</v>
      </c>
      <c r="AC135" s="51">
        <f t="shared" ref="AC135:AC142" si="66">X135</f>
        <v>3.3292236441006913</v>
      </c>
      <c r="AD135" s="51">
        <f t="shared" ref="AD135:AD142" si="67">U135</f>
        <v>-1.1998562285824121</v>
      </c>
      <c r="AE135" s="51">
        <f t="shared" ref="AE135:AE142" si="68">Y135</f>
        <v>-3.5926435431481414</v>
      </c>
      <c r="AF135" s="51">
        <f t="shared" ref="AF135:AF142" si="69">V135</f>
        <v>-4.567296579117297E-2</v>
      </c>
      <c r="AG135" s="51">
        <f t="shared" ref="AG135:AG142" si="70">Z135</f>
        <v>-0.15646564106238178</v>
      </c>
    </row>
    <row r="136" spans="1:33" x14ac:dyDescent="0.3">
      <c r="A136">
        <v>6</v>
      </c>
      <c r="B136">
        <v>2.2000000000000002</v>
      </c>
      <c r="C136">
        <v>2.2999999999999998</v>
      </c>
      <c r="D136">
        <v>1.5</v>
      </c>
      <c r="E136">
        <v>6</v>
      </c>
      <c r="I136" s="55">
        <f t="shared" si="56"/>
        <v>36.666666666666671</v>
      </c>
      <c r="J136" s="55">
        <f t="shared" si="56"/>
        <v>38.333333333333329</v>
      </c>
      <c r="K136" s="55">
        <f t="shared" si="56"/>
        <v>25</v>
      </c>
      <c r="L136">
        <v>2</v>
      </c>
      <c r="M136" s="51">
        <f t="shared" si="57"/>
        <v>33.333333333333329</v>
      </c>
      <c r="N136" s="51">
        <f t="shared" si="58"/>
        <v>39.449541284403665</v>
      </c>
      <c r="O136" s="51">
        <f t="shared" si="59"/>
        <v>33.333333333333329</v>
      </c>
      <c r="P136" s="51">
        <f t="shared" si="60"/>
        <v>30.27522935779816</v>
      </c>
      <c r="Q136" s="51">
        <f t="shared" si="61"/>
        <v>33.333333333333329</v>
      </c>
      <c r="R136" s="51">
        <f t="shared" si="62"/>
        <v>30.27522935779816</v>
      </c>
      <c r="T136" s="55">
        <f t="shared" si="63"/>
        <v>6.1162079510703364</v>
      </c>
      <c r="U136" s="55">
        <f t="shared" si="63"/>
        <v>-3.0581039755351682</v>
      </c>
      <c r="V136" s="55">
        <f t="shared" si="63"/>
        <v>-3.0581039755351682</v>
      </c>
      <c r="X136" s="55">
        <f t="shared" si="64"/>
        <v>18.348623853211013</v>
      </c>
      <c r="Y136" s="55">
        <f t="shared" si="64"/>
        <v>-9.1743119266055064</v>
      </c>
      <c r="Z136" s="55">
        <f t="shared" si="64"/>
        <v>-9.1743119266055064</v>
      </c>
      <c r="AA136">
        <v>2</v>
      </c>
      <c r="AB136" s="51">
        <f t="shared" si="65"/>
        <v>6.1162079510703364</v>
      </c>
      <c r="AC136" s="51">
        <f t="shared" si="66"/>
        <v>18.348623853211013</v>
      </c>
      <c r="AD136" s="51">
        <f t="shared" si="67"/>
        <v>-3.0581039755351682</v>
      </c>
      <c r="AE136" s="51">
        <f t="shared" si="68"/>
        <v>-9.1743119266055064</v>
      </c>
      <c r="AF136" s="51">
        <f t="shared" si="69"/>
        <v>-3.0581039755351682</v>
      </c>
      <c r="AG136" s="51">
        <f t="shared" si="70"/>
        <v>-9.1743119266055064</v>
      </c>
    </row>
    <row r="137" spans="1:33" x14ac:dyDescent="0.3">
      <c r="A137">
        <v>7</v>
      </c>
      <c r="B137">
        <v>2.4</v>
      </c>
      <c r="C137">
        <v>2.2999999999999998</v>
      </c>
      <c r="D137">
        <v>2.2999999999999998</v>
      </c>
      <c r="E137">
        <v>7</v>
      </c>
      <c r="I137" s="55">
        <f t="shared" si="56"/>
        <v>34.285714285714285</v>
      </c>
      <c r="J137" s="55">
        <f t="shared" si="56"/>
        <v>32.857142857142854</v>
      </c>
      <c r="K137" s="55">
        <f t="shared" si="56"/>
        <v>32.857142857142854</v>
      </c>
      <c r="L137">
        <v>3</v>
      </c>
      <c r="M137" s="51">
        <f t="shared" si="57"/>
        <v>36.241610738255034</v>
      </c>
      <c r="N137" s="51">
        <f t="shared" si="58"/>
        <v>38.775510204081634</v>
      </c>
      <c r="O137" s="51">
        <f t="shared" si="59"/>
        <v>33.557046979865767</v>
      </c>
      <c r="P137" s="51">
        <f t="shared" si="60"/>
        <v>31.3971742543171</v>
      </c>
      <c r="Q137" s="51">
        <f t="shared" si="61"/>
        <v>30.201342281879196</v>
      </c>
      <c r="R137" s="51">
        <f t="shared" si="62"/>
        <v>29.827315541601262</v>
      </c>
      <c r="T137" s="55">
        <f t="shared" si="63"/>
        <v>2.5338994658266003</v>
      </c>
      <c r="U137" s="55">
        <f t="shared" si="63"/>
        <v>-2.1598727255486665</v>
      </c>
      <c r="V137" s="55">
        <f t="shared" si="63"/>
        <v>-0.37402674027793381</v>
      </c>
      <c r="X137" s="55">
        <f t="shared" si="64"/>
        <v>6.9916855631141379</v>
      </c>
      <c r="Y137" s="55">
        <f t="shared" si="64"/>
        <v>-6.4364207221350265</v>
      </c>
      <c r="Z137" s="55">
        <f t="shared" si="64"/>
        <v>-1.2384440955869362</v>
      </c>
      <c r="AA137">
        <v>3</v>
      </c>
      <c r="AB137" s="51">
        <f t="shared" si="65"/>
        <v>2.5338994658266003</v>
      </c>
      <c r="AC137" s="51">
        <f t="shared" si="66"/>
        <v>6.9916855631141379</v>
      </c>
      <c r="AD137" s="51">
        <f t="shared" si="67"/>
        <v>-2.1598727255486665</v>
      </c>
      <c r="AE137" s="51">
        <f t="shared" si="68"/>
        <v>-6.4364207221350265</v>
      </c>
      <c r="AF137" s="51">
        <f t="shared" si="69"/>
        <v>-0.37402674027793381</v>
      </c>
      <c r="AG137" s="51">
        <f t="shared" si="70"/>
        <v>-1.2384440955869362</v>
      </c>
    </row>
    <row r="138" spans="1:33" x14ac:dyDescent="0.3">
      <c r="A138">
        <v>8</v>
      </c>
      <c r="B138">
        <v>2.8</v>
      </c>
      <c r="C138">
        <v>2.600000000000001</v>
      </c>
      <c r="D138">
        <v>2.600000000000001</v>
      </c>
      <c r="E138">
        <v>8</v>
      </c>
      <c r="I138" s="55">
        <f t="shared" si="56"/>
        <v>35</v>
      </c>
      <c r="J138" s="55">
        <f t="shared" si="56"/>
        <v>32.500000000000014</v>
      </c>
      <c r="K138" s="55">
        <f t="shared" si="56"/>
        <v>32.500000000000014</v>
      </c>
      <c r="L138">
        <v>4</v>
      </c>
      <c r="M138" s="51">
        <f t="shared" si="57"/>
        <v>45</v>
      </c>
      <c r="N138" s="51">
        <f t="shared" si="58"/>
        <v>43.052391799544424</v>
      </c>
      <c r="O138" s="51">
        <f t="shared" si="59"/>
        <v>27.500000000000004</v>
      </c>
      <c r="P138" s="51">
        <f t="shared" si="60"/>
        <v>27.904328018223246</v>
      </c>
      <c r="Q138" s="51">
        <f t="shared" si="61"/>
        <v>27.500000000000004</v>
      </c>
      <c r="R138" s="51">
        <f t="shared" si="62"/>
        <v>29.043280182232344</v>
      </c>
      <c r="T138" s="55">
        <f t="shared" si="63"/>
        <v>-1.9476082004555764</v>
      </c>
      <c r="U138" s="55">
        <f t="shared" si="63"/>
        <v>0.40432801822324294</v>
      </c>
      <c r="V138" s="55">
        <f t="shared" si="63"/>
        <v>1.5432801822323405</v>
      </c>
      <c r="X138" s="55">
        <f t="shared" si="64"/>
        <v>-4.328018223234614</v>
      </c>
      <c r="Y138" s="55">
        <f t="shared" si="64"/>
        <v>1.4702837026299742</v>
      </c>
      <c r="Z138" s="55">
        <f t="shared" si="64"/>
        <v>5.6119279353903284</v>
      </c>
      <c r="AA138">
        <v>4</v>
      </c>
      <c r="AB138" s="51">
        <f t="shared" si="65"/>
        <v>-1.9476082004555764</v>
      </c>
      <c r="AC138" s="51">
        <f t="shared" si="66"/>
        <v>-4.328018223234614</v>
      </c>
      <c r="AD138" s="51">
        <f t="shared" si="67"/>
        <v>0.40432801822324294</v>
      </c>
      <c r="AE138" s="51">
        <f t="shared" si="68"/>
        <v>1.4702837026299742</v>
      </c>
      <c r="AF138" s="51">
        <f t="shared" si="69"/>
        <v>1.5432801822323405</v>
      </c>
      <c r="AG138" s="51">
        <f t="shared" si="70"/>
        <v>5.6119279353903284</v>
      </c>
    </row>
    <row r="139" spans="1:33" x14ac:dyDescent="0.3">
      <c r="A139" t="s">
        <v>103</v>
      </c>
      <c r="L139">
        <v>5</v>
      </c>
      <c r="M139" s="51">
        <f t="shared" si="57"/>
        <v>38</v>
      </c>
      <c r="N139" s="51">
        <f t="shared" si="58"/>
        <v>38.00184586986618</v>
      </c>
      <c r="O139" s="51">
        <f t="shared" si="59"/>
        <v>38</v>
      </c>
      <c r="P139" s="51">
        <f t="shared" si="60"/>
        <v>38.00184586986618</v>
      </c>
      <c r="Q139" s="51">
        <f t="shared" si="61"/>
        <v>24</v>
      </c>
      <c r="R139" s="51">
        <f t="shared" si="62"/>
        <v>23.996308260267643</v>
      </c>
      <c r="T139" s="55">
        <f t="shared" si="63"/>
        <v>1.8458698661802941E-3</v>
      </c>
      <c r="U139" s="55">
        <f t="shared" si="63"/>
        <v>1.8458698661802941E-3</v>
      </c>
      <c r="V139" s="55">
        <f t="shared" si="63"/>
        <v>-3.6917397323570356E-3</v>
      </c>
      <c r="X139" s="55">
        <f t="shared" si="64"/>
        <v>4.8575522794218262E-3</v>
      </c>
      <c r="Y139" s="55">
        <f t="shared" si="64"/>
        <v>4.8575522794218262E-3</v>
      </c>
      <c r="Z139" s="55">
        <f t="shared" si="64"/>
        <v>-1.5382248884820982E-2</v>
      </c>
      <c r="AA139">
        <v>5</v>
      </c>
      <c r="AB139" s="51">
        <f t="shared" si="65"/>
        <v>1.8458698661802941E-3</v>
      </c>
      <c r="AC139" s="51">
        <f t="shared" si="66"/>
        <v>4.8575522794218262E-3</v>
      </c>
      <c r="AD139" s="51">
        <f t="shared" si="67"/>
        <v>1.8458698661802941E-3</v>
      </c>
      <c r="AE139" s="51">
        <f t="shared" si="68"/>
        <v>4.8575522794218262E-3</v>
      </c>
      <c r="AF139" s="51">
        <f t="shared" si="69"/>
        <v>-3.6917397323570356E-3</v>
      </c>
      <c r="AG139" s="51">
        <f t="shared" si="70"/>
        <v>-1.5382248884820982E-2</v>
      </c>
    </row>
    <row r="140" spans="1:33" x14ac:dyDescent="0.3">
      <c r="B140">
        <v>1.550012121212121</v>
      </c>
      <c r="C140">
        <v>1.2909999999999999</v>
      </c>
      <c r="D140">
        <v>1.168587301587301</v>
      </c>
      <c r="E140">
        <f>B140+C140+D140</f>
        <v>4.0095994227994218</v>
      </c>
      <c r="I140" s="55">
        <f t="shared" ref="I140:K147" si="71">B140/$E140*100</f>
        <v>38.657530535305533</v>
      </c>
      <c r="J140" s="55">
        <f t="shared" si="71"/>
        <v>32.197730093911716</v>
      </c>
      <c r="K140" s="55">
        <f t="shared" si="71"/>
        <v>29.144739370782752</v>
      </c>
      <c r="L140">
        <v>6</v>
      </c>
      <c r="M140" s="51">
        <f t="shared" si="57"/>
        <v>36.666666666666671</v>
      </c>
      <c r="N140" s="51">
        <f t="shared" si="58"/>
        <v>35.78947368421052</v>
      </c>
      <c r="O140" s="51">
        <f t="shared" si="59"/>
        <v>38.333333333333329</v>
      </c>
      <c r="P140" s="51">
        <f t="shared" si="60"/>
        <v>38.771929824561397</v>
      </c>
      <c r="Q140" s="51">
        <f t="shared" si="61"/>
        <v>25</v>
      </c>
      <c r="R140" s="51">
        <f t="shared" si="62"/>
        <v>25.438596491228065</v>
      </c>
      <c r="T140" s="55">
        <f t="shared" si="63"/>
        <v>-0.87719298245615107</v>
      </c>
      <c r="U140" s="55">
        <f t="shared" si="63"/>
        <v>0.43859649122806843</v>
      </c>
      <c r="V140" s="55">
        <f t="shared" si="63"/>
        <v>0.43859649122806488</v>
      </c>
      <c r="X140" s="55">
        <f t="shared" si="64"/>
        <v>-2.3923444976076844</v>
      </c>
      <c r="Y140" s="55">
        <f t="shared" si="64"/>
        <v>1.1441647597253961</v>
      </c>
      <c r="Z140" s="55">
        <f t="shared" si="64"/>
        <v>1.7543859649122595</v>
      </c>
      <c r="AA140">
        <v>6</v>
      </c>
      <c r="AB140" s="51">
        <f t="shared" si="65"/>
        <v>-0.87719298245615107</v>
      </c>
      <c r="AC140" s="51">
        <f t="shared" si="66"/>
        <v>-2.3923444976076844</v>
      </c>
      <c r="AD140" s="51">
        <f t="shared" si="67"/>
        <v>0.43859649122806843</v>
      </c>
      <c r="AE140" s="51">
        <f t="shared" si="68"/>
        <v>1.1441647597253961</v>
      </c>
      <c r="AF140" s="51">
        <f t="shared" si="69"/>
        <v>0.43859649122806488</v>
      </c>
      <c r="AG140" s="51">
        <f t="shared" si="70"/>
        <v>1.7543859649122595</v>
      </c>
    </row>
    <row r="141" spans="1:33" x14ac:dyDescent="0.3">
      <c r="A141">
        <v>2</v>
      </c>
      <c r="B141">
        <v>1.303030303030303</v>
      </c>
      <c r="C141">
        <v>1</v>
      </c>
      <c r="D141">
        <v>1</v>
      </c>
      <c r="E141">
        <v>3.3030303030303032</v>
      </c>
      <c r="I141" s="55">
        <f t="shared" si="71"/>
        <v>39.449541284403665</v>
      </c>
      <c r="J141" s="55">
        <f t="shared" si="71"/>
        <v>30.27522935779816</v>
      </c>
      <c r="K141" s="55">
        <f t="shared" si="71"/>
        <v>30.27522935779816</v>
      </c>
      <c r="L141">
        <v>7</v>
      </c>
      <c r="M141" s="51">
        <f t="shared" si="57"/>
        <v>34.285714285714285</v>
      </c>
      <c r="N141" s="51">
        <f t="shared" si="58"/>
        <v>34.202898550724633</v>
      </c>
      <c r="O141" s="51">
        <f t="shared" si="59"/>
        <v>32.857142857142854</v>
      </c>
      <c r="P141" s="51">
        <f t="shared" si="60"/>
        <v>32.89855072463768</v>
      </c>
      <c r="Q141" s="51">
        <f t="shared" si="61"/>
        <v>32.857142857142854</v>
      </c>
      <c r="R141" s="51">
        <f t="shared" si="62"/>
        <v>32.89855072463768</v>
      </c>
      <c r="T141" s="55">
        <f t="shared" si="63"/>
        <v>-8.2815734989651446E-2</v>
      </c>
      <c r="U141" s="55">
        <f t="shared" si="63"/>
        <v>4.1407867494825723E-2</v>
      </c>
      <c r="V141" s="55">
        <f t="shared" si="63"/>
        <v>4.1407867494825723E-2</v>
      </c>
      <c r="X141" s="55">
        <f t="shared" si="64"/>
        <v>-0.24154589371981672</v>
      </c>
      <c r="Y141" s="55">
        <f t="shared" si="64"/>
        <v>0.12602394454946961</v>
      </c>
      <c r="Z141" s="55">
        <f t="shared" si="64"/>
        <v>0.12602394454946961</v>
      </c>
      <c r="AA141">
        <v>7</v>
      </c>
      <c r="AB141" s="51">
        <f t="shared" si="65"/>
        <v>-8.2815734989651446E-2</v>
      </c>
      <c r="AC141" s="51">
        <f t="shared" si="66"/>
        <v>-0.24154589371981672</v>
      </c>
      <c r="AD141" s="51">
        <f t="shared" si="67"/>
        <v>4.1407867494825723E-2</v>
      </c>
      <c r="AE141" s="51">
        <f t="shared" si="68"/>
        <v>0.12602394454946961</v>
      </c>
      <c r="AF141" s="51">
        <f t="shared" si="69"/>
        <v>4.1407867494825723E-2</v>
      </c>
      <c r="AG141" s="51">
        <f t="shared" si="70"/>
        <v>0.12602394454946961</v>
      </c>
    </row>
    <row r="142" spans="1:33" x14ac:dyDescent="0.3">
      <c r="A142">
        <v>3</v>
      </c>
      <c r="B142">
        <v>1.3</v>
      </c>
      <c r="C142">
        <v>1.0526315789473679</v>
      </c>
      <c r="D142">
        <v>1</v>
      </c>
      <c r="E142">
        <v>3.352631578947368</v>
      </c>
      <c r="I142" s="55">
        <f t="shared" si="71"/>
        <v>38.775510204081634</v>
      </c>
      <c r="J142" s="55">
        <f t="shared" si="71"/>
        <v>31.3971742543171</v>
      </c>
      <c r="K142" s="55">
        <f t="shared" si="71"/>
        <v>29.827315541601262</v>
      </c>
      <c r="L142">
        <v>8</v>
      </c>
      <c r="M142" s="51">
        <f t="shared" si="57"/>
        <v>35</v>
      </c>
      <c r="N142" s="51">
        <f t="shared" si="58"/>
        <v>35.696202531645575</v>
      </c>
      <c r="O142" s="51">
        <f t="shared" si="59"/>
        <v>32.500000000000014</v>
      </c>
      <c r="P142" s="51">
        <f t="shared" si="60"/>
        <v>32.151898734177223</v>
      </c>
      <c r="Q142" s="51">
        <f t="shared" si="61"/>
        <v>32.500000000000014</v>
      </c>
      <c r="R142" s="51">
        <f t="shared" si="62"/>
        <v>32.151898734177223</v>
      </c>
      <c r="T142" s="55">
        <f t="shared" si="63"/>
        <v>0.69620253164557511</v>
      </c>
      <c r="U142" s="55">
        <f t="shared" si="63"/>
        <v>-0.34810126582279111</v>
      </c>
      <c r="V142" s="55">
        <f t="shared" si="63"/>
        <v>-0.34810126582279111</v>
      </c>
      <c r="X142" s="55">
        <f t="shared" si="64"/>
        <v>1.9891500904159289</v>
      </c>
      <c r="Y142" s="55">
        <f t="shared" si="64"/>
        <v>-1.0710808179162798</v>
      </c>
      <c r="Z142" s="55">
        <f t="shared" si="64"/>
        <v>-1.0710808179162798</v>
      </c>
      <c r="AA142">
        <v>8</v>
      </c>
      <c r="AB142" s="51">
        <f t="shared" si="65"/>
        <v>0.69620253164557511</v>
      </c>
      <c r="AC142" s="51">
        <f t="shared" si="66"/>
        <v>1.9891500904159289</v>
      </c>
      <c r="AD142" s="51">
        <f t="shared" si="67"/>
        <v>-0.34810126582279111</v>
      </c>
      <c r="AE142" s="51">
        <f t="shared" si="68"/>
        <v>-1.0710808179162798</v>
      </c>
      <c r="AF142" s="51">
        <f t="shared" si="69"/>
        <v>-0.34810126582279111</v>
      </c>
      <c r="AG142" s="51">
        <f t="shared" si="70"/>
        <v>-1.0710808179162798</v>
      </c>
    </row>
    <row r="143" spans="1:33" x14ac:dyDescent="0.3">
      <c r="A143">
        <v>4</v>
      </c>
      <c r="B143">
        <v>1.8</v>
      </c>
      <c r="C143">
        <v>1.166666666666667</v>
      </c>
      <c r="D143">
        <v>1.214285714285714</v>
      </c>
      <c r="E143">
        <v>4.1809523809523803</v>
      </c>
      <c r="I143" s="55">
        <f t="shared" si="71"/>
        <v>43.052391799544424</v>
      </c>
      <c r="J143" s="55">
        <f t="shared" si="71"/>
        <v>27.904328018223246</v>
      </c>
      <c r="K143" s="55">
        <f t="shared" si="71"/>
        <v>29.043280182232344</v>
      </c>
      <c r="O143" s="55"/>
    </row>
    <row r="144" spans="1:33" x14ac:dyDescent="0.3">
      <c r="A144">
        <v>5</v>
      </c>
      <c r="B144">
        <v>1.83</v>
      </c>
      <c r="C144">
        <v>1.83</v>
      </c>
      <c r="D144">
        <v>1.155555555555555</v>
      </c>
      <c r="E144">
        <v>4.8155555555555551</v>
      </c>
      <c r="I144" s="55">
        <f t="shared" si="71"/>
        <v>38.00184586986618</v>
      </c>
      <c r="J144" s="55">
        <f t="shared" si="71"/>
        <v>38.00184586986618</v>
      </c>
      <c r="K144" s="55">
        <f t="shared" si="71"/>
        <v>23.996308260267643</v>
      </c>
    </row>
    <row r="145" spans="1:11" x14ac:dyDescent="0.3">
      <c r="A145">
        <v>6</v>
      </c>
      <c r="B145">
        <v>2.04</v>
      </c>
      <c r="C145">
        <v>2.21</v>
      </c>
      <c r="D145">
        <v>1.45</v>
      </c>
      <c r="E145">
        <v>5.7000000000000011</v>
      </c>
      <c r="I145" s="55">
        <f t="shared" si="71"/>
        <v>35.78947368421052</v>
      </c>
      <c r="J145" s="55">
        <f t="shared" si="71"/>
        <v>38.771929824561397</v>
      </c>
      <c r="K145" s="55">
        <f t="shared" si="71"/>
        <v>25.438596491228065</v>
      </c>
    </row>
    <row r="146" spans="1:11" x14ac:dyDescent="0.3">
      <c r="A146">
        <v>7</v>
      </c>
      <c r="B146">
        <v>2.36</v>
      </c>
      <c r="C146">
        <v>2.27</v>
      </c>
      <c r="D146">
        <v>2.27</v>
      </c>
      <c r="E146">
        <v>6.9</v>
      </c>
      <c r="I146" s="55">
        <f t="shared" si="71"/>
        <v>34.202898550724633</v>
      </c>
      <c r="J146" s="55">
        <f t="shared" si="71"/>
        <v>32.89855072463768</v>
      </c>
      <c r="K146" s="55">
        <f t="shared" si="71"/>
        <v>32.89855072463768</v>
      </c>
    </row>
    <row r="147" spans="1:11" x14ac:dyDescent="0.3">
      <c r="A147">
        <v>8</v>
      </c>
      <c r="B147">
        <v>2.82</v>
      </c>
      <c r="C147">
        <v>2.54</v>
      </c>
      <c r="D147">
        <v>2.54</v>
      </c>
      <c r="E147">
        <v>7.8999999999999986</v>
      </c>
      <c r="I147" s="55">
        <f t="shared" si="71"/>
        <v>35.696202531645575</v>
      </c>
      <c r="J147" s="55">
        <f t="shared" si="71"/>
        <v>32.151898734177223</v>
      </c>
      <c r="K147" s="55">
        <f t="shared" si="71"/>
        <v>32.151898734177223</v>
      </c>
    </row>
  </sheetData>
  <mergeCells count="42">
    <mergeCell ref="AD85:AE85"/>
    <mergeCell ref="AF85:AG85"/>
    <mergeCell ref="O133:P133"/>
    <mergeCell ref="Q133:R133"/>
    <mergeCell ref="AB106:AC106"/>
    <mergeCell ref="AD106:AE106"/>
    <mergeCell ref="AF106:AG106"/>
    <mergeCell ref="AB133:AC133"/>
    <mergeCell ref="AD133:AE133"/>
    <mergeCell ref="AF133:AG133"/>
    <mergeCell ref="M133:N133"/>
    <mergeCell ref="AB85:AC85"/>
    <mergeCell ref="N54:O54"/>
    <mergeCell ref="P54:Q54"/>
    <mergeCell ref="R54:S54"/>
    <mergeCell ref="T54:U54"/>
    <mergeCell ref="N66:O66"/>
    <mergeCell ref="P66:Q66"/>
    <mergeCell ref="R66:S66"/>
    <mergeCell ref="T66:U66"/>
    <mergeCell ref="M85:N85"/>
    <mergeCell ref="O85:P85"/>
    <mergeCell ref="Q85:R85"/>
    <mergeCell ref="M106:N106"/>
    <mergeCell ref="O106:P106"/>
    <mergeCell ref="Q106:R106"/>
    <mergeCell ref="N30:O30"/>
    <mergeCell ref="P30:Q30"/>
    <mergeCell ref="R30:S30"/>
    <mergeCell ref="T30:U30"/>
    <mergeCell ref="N42:O42"/>
    <mergeCell ref="P42:Q42"/>
    <mergeCell ref="R42:S42"/>
    <mergeCell ref="T42:U42"/>
    <mergeCell ref="N5:O5"/>
    <mergeCell ref="P5:Q5"/>
    <mergeCell ref="R5:S5"/>
    <mergeCell ref="T5:U5"/>
    <mergeCell ref="N17:O17"/>
    <mergeCell ref="P17:Q17"/>
    <mergeCell ref="R17:S17"/>
    <mergeCell ref="T17:U1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9</vt:i4>
      </vt:variant>
    </vt:vector>
  </HeadingPairs>
  <TitlesOfParts>
    <vt:vector size="9" baseType="lpstr">
      <vt:lpstr>List1</vt:lpstr>
      <vt:lpstr>List2</vt:lpstr>
      <vt:lpstr>List4</vt:lpstr>
      <vt:lpstr>List3</vt:lpstr>
      <vt:lpstr>List5</vt:lpstr>
      <vt:lpstr>List6</vt:lpstr>
      <vt:lpstr>Lista</vt:lpstr>
      <vt:lpstr>Lista6 (2)</vt:lpstr>
      <vt:lpstr>Udjeli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2022-09-08T21:26:28Z</dcterms:created>
  <dcterms:modified xsi:type="dcterms:W3CDTF">2022-11-30T22:11:32Z</dcterms:modified>
</cp:coreProperties>
</file>